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V:\ΤΜΗΜΑ ΠΡΟΜΗΘΕΙΩΝ\cost savings\"/>
    </mc:Choice>
  </mc:AlternateContent>
  <xr:revisionPtr revIDLastSave="0" documentId="13_ncr:1_{9E836372-7E86-4DF7-9821-C34F9B57366F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" i="1" l="1"/>
  <c r="AC97" i="1" l="1"/>
  <c r="AC96" i="1"/>
  <c r="AC94" i="1"/>
  <c r="AC93" i="1"/>
  <c r="AC92" i="1"/>
  <c r="AC91" i="1"/>
  <c r="AC90" i="1"/>
  <c r="AC89" i="1"/>
  <c r="AC88" i="1"/>
  <c r="AC87" i="1"/>
  <c r="AC86" i="1"/>
  <c r="AC85" i="1"/>
  <c r="AC84" i="1"/>
  <c r="AC82" i="1"/>
  <c r="AC81" i="1"/>
  <c r="AC79" i="1"/>
  <c r="AC78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3" i="1"/>
  <c r="AC42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5" i="1"/>
  <c r="AC4" i="1"/>
  <c r="AC3" i="1"/>
  <c r="AC2" i="1"/>
  <c r="J74" i="1"/>
  <c r="M74" i="1" s="1"/>
  <c r="J75" i="1"/>
  <c r="M75" i="1" s="1"/>
  <c r="J76" i="1"/>
  <c r="M76" i="1" s="1"/>
  <c r="J78" i="1"/>
  <c r="M78" i="1" s="1"/>
  <c r="J79" i="1"/>
  <c r="M79" i="1" s="1"/>
  <c r="J81" i="1"/>
  <c r="M81" i="1" s="1"/>
  <c r="J82" i="1"/>
  <c r="M82" i="1" s="1"/>
  <c r="J83" i="1"/>
  <c r="M83" i="1" s="1"/>
  <c r="J84" i="1"/>
  <c r="M84" i="1" s="1"/>
  <c r="J85" i="1"/>
  <c r="M85" i="1" s="1"/>
  <c r="J86" i="1"/>
  <c r="M86" i="1" s="1"/>
  <c r="J87" i="1"/>
  <c r="M87" i="1" s="1"/>
  <c r="J88" i="1"/>
  <c r="M88" i="1" s="1"/>
  <c r="J89" i="1"/>
  <c r="M89" i="1" s="1"/>
  <c r="J90" i="1"/>
  <c r="M90" i="1" s="1"/>
  <c r="J91" i="1"/>
  <c r="M91" i="1" s="1"/>
  <c r="J92" i="1"/>
  <c r="M92" i="1" s="1"/>
  <c r="J93" i="1"/>
  <c r="J94" i="1"/>
  <c r="J95" i="1"/>
  <c r="M95" i="1" s="1"/>
  <c r="J96" i="1"/>
  <c r="M96" i="1" s="1"/>
  <c r="J97" i="1"/>
  <c r="M97" i="1" s="1"/>
  <c r="P74" i="1"/>
  <c r="P75" i="1"/>
  <c r="P76" i="1"/>
  <c r="P78" i="1"/>
  <c r="P79" i="1"/>
  <c r="P81" i="1"/>
  <c r="P82" i="1"/>
  <c r="P83" i="1"/>
  <c r="P84" i="1"/>
  <c r="P85" i="1"/>
  <c r="P86" i="1"/>
  <c r="P87" i="1"/>
  <c r="P88" i="1"/>
  <c r="P89" i="1"/>
  <c r="P90" i="1"/>
  <c r="P91" i="1"/>
  <c r="P92" i="1"/>
  <c r="M93" i="1"/>
  <c r="P93" i="1"/>
  <c r="M94" i="1"/>
  <c r="P94" i="1"/>
  <c r="P95" i="1"/>
  <c r="P96" i="1"/>
  <c r="P97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81" i="1"/>
  <c r="L82" i="1"/>
  <c r="L83" i="1"/>
  <c r="L78" i="1"/>
  <c r="L79" i="1"/>
  <c r="L74" i="1"/>
  <c r="L75" i="1"/>
  <c r="L76" i="1"/>
  <c r="U73" i="1"/>
  <c r="P73" i="1"/>
  <c r="L73" i="1"/>
  <c r="J73" i="1"/>
  <c r="M73" i="1" s="1"/>
  <c r="S73" i="1" l="1"/>
  <c r="R73" i="1"/>
  <c r="O88" i="1"/>
  <c r="O89" i="1"/>
  <c r="O73" i="1"/>
  <c r="O93" i="1"/>
  <c r="O92" i="1"/>
  <c r="O81" i="1"/>
  <c r="O85" i="1"/>
  <c r="O96" i="1"/>
  <c r="O84" i="1"/>
  <c r="O76" i="1"/>
  <c r="O97" i="1"/>
  <c r="O95" i="1"/>
  <c r="O94" i="1"/>
  <c r="O91" i="1"/>
  <c r="O90" i="1"/>
  <c r="O87" i="1"/>
  <c r="O86" i="1"/>
  <c r="O83" i="1"/>
  <c r="O82" i="1"/>
  <c r="O79" i="1"/>
  <c r="O78" i="1"/>
  <c r="O75" i="1"/>
  <c r="O74" i="1"/>
  <c r="AA90" i="1"/>
  <c r="AA74" i="1"/>
  <c r="AA75" i="1"/>
  <c r="AA76" i="1"/>
  <c r="AA78" i="1"/>
  <c r="AA79" i="1"/>
  <c r="AA81" i="1"/>
  <c r="AB81" i="1" s="1"/>
  <c r="AA82" i="1"/>
  <c r="AB82" i="1" s="1"/>
  <c r="AA83" i="1"/>
  <c r="AC83" i="1" s="1"/>
  <c r="AA84" i="1"/>
  <c r="AA85" i="1"/>
  <c r="AA86" i="1"/>
  <c r="AA87" i="1"/>
  <c r="AA88" i="1"/>
  <c r="AA92" i="1"/>
  <c r="AA93" i="1"/>
  <c r="AA94" i="1"/>
  <c r="AA95" i="1"/>
  <c r="AC95" i="1" s="1"/>
  <c r="AA96" i="1"/>
  <c r="AA97" i="1"/>
  <c r="AA73" i="1"/>
  <c r="T73" i="1" l="1"/>
  <c r="AB96" i="1"/>
  <c r="AB95" i="1"/>
  <c r="AB75" i="1"/>
  <c r="AB93" i="1"/>
  <c r="AB88" i="1"/>
  <c r="AB90" i="1"/>
  <c r="AB73" i="1"/>
  <c r="AB74" i="1"/>
  <c r="AB87" i="1"/>
  <c r="AB83" i="1"/>
  <c r="AB85" i="1"/>
  <c r="AB86" i="1"/>
  <c r="AB84" i="1"/>
  <c r="AB92" i="1"/>
  <c r="AB97" i="1"/>
  <c r="AB79" i="1"/>
  <c r="AB76" i="1"/>
  <c r="AB94" i="1"/>
  <c r="AB78" i="1"/>
  <c r="AA39" i="1"/>
  <c r="AB39" i="1" s="1"/>
  <c r="AA40" i="1"/>
  <c r="AB40" i="1" s="1"/>
  <c r="AA38" i="1"/>
  <c r="AB38" i="1" s="1"/>
  <c r="U19" i="1"/>
  <c r="U17" i="1"/>
  <c r="P19" i="1"/>
  <c r="P20" i="1"/>
  <c r="P17" i="1"/>
  <c r="L19" i="1"/>
  <c r="U6" i="1"/>
  <c r="R6" i="1"/>
  <c r="J36" i="1"/>
  <c r="M36" i="1"/>
  <c r="R36" i="1" s="1"/>
  <c r="L3" i="1"/>
  <c r="L4" i="1"/>
  <c r="L6" i="1"/>
  <c r="L8" i="1"/>
  <c r="L9" i="1"/>
  <c r="L10" i="1"/>
  <c r="L11" i="1"/>
  <c r="L13" i="1"/>
  <c r="L14" i="1"/>
  <c r="L15" i="1"/>
  <c r="L16" i="1"/>
  <c r="L17" i="1"/>
  <c r="L20" i="1"/>
  <c r="L22" i="1"/>
  <c r="L23" i="1"/>
  <c r="L24" i="1"/>
  <c r="L25" i="1"/>
  <c r="L27" i="1"/>
  <c r="L28" i="1"/>
  <c r="L29" i="1"/>
  <c r="L30" i="1"/>
  <c r="L31" i="1"/>
  <c r="L33" i="1"/>
  <c r="L34" i="1"/>
  <c r="L36" i="1"/>
  <c r="L38" i="1"/>
  <c r="L39" i="1"/>
  <c r="L40" i="1"/>
  <c r="L42" i="1"/>
  <c r="L43" i="1"/>
  <c r="L44" i="1"/>
  <c r="L45" i="1"/>
  <c r="L46" i="1"/>
  <c r="L47" i="1"/>
  <c r="L48" i="1"/>
  <c r="L49" i="1"/>
  <c r="L51" i="1"/>
  <c r="L52" i="1"/>
  <c r="L53" i="1"/>
  <c r="L54" i="1"/>
  <c r="L56" i="1"/>
  <c r="L57" i="1"/>
  <c r="L58" i="1"/>
  <c r="L59" i="1"/>
  <c r="L60" i="1"/>
  <c r="L62" i="1"/>
  <c r="L63" i="1"/>
  <c r="L65" i="1"/>
  <c r="L66" i="1"/>
  <c r="L67" i="1"/>
  <c r="L69" i="1"/>
  <c r="L71" i="1"/>
  <c r="L2" i="1"/>
  <c r="J3" i="1"/>
  <c r="M3" i="1" s="1"/>
  <c r="S3" i="1" s="1"/>
  <c r="J4" i="1"/>
  <c r="M4" i="1" s="1"/>
  <c r="S4" i="1" s="1"/>
  <c r="M6" i="1"/>
  <c r="S6" i="1" s="1"/>
  <c r="J8" i="1"/>
  <c r="M8" i="1" s="1"/>
  <c r="R8" i="1" s="1"/>
  <c r="J9" i="1"/>
  <c r="M9" i="1" s="1"/>
  <c r="R9" i="1" s="1"/>
  <c r="J10" i="1"/>
  <c r="M10" i="1" s="1"/>
  <c r="R10" i="1" s="1"/>
  <c r="J11" i="1"/>
  <c r="M11" i="1" s="1"/>
  <c r="R11" i="1" s="1"/>
  <c r="J13" i="1"/>
  <c r="M13" i="1" s="1"/>
  <c r="R13" i="1" s="1"/>
  <c r="J14" i="1"/>
  <c r="M14" i="1" s="1"/>
  <c r="R14" i="1" s="1"/>
  <c r="J15" i="1"/>
  <c r="M15" i="1" s="1"/>
  <c r="S15" i="1" s="1"/>
  <c r="J16" i="1"/>
  <c r="M16" i="1" s="1"/>
  <c r="S16" i="1" s="1"/>
  <c r="J17" i="1"/>
  <c r="M17" i="1" s="1"/>
  <c r="S17" i="1" s="1"/>
  <c r="M19" i="1"/>
  <c r="O19" i="1" s="1"/>
  <c r="M20" i="1"/>
  <c r="S20" i="1" s="1"/>
  <c r="J22" i="1"/>
  <c r="M22" i="1" s="1"/>
  <c r="R22" i="1" s="1"/>
  <c r="J23" i="1"/>
  <c r="M23" i="1" s="1"/>
  <c r="R23" i="1" s="1"/>
  <c r="J24" i="1"/>
  <c r="M24" i="1" s="1"/>
  <c r="R24" i="1" s="1"/>
  <c r="J25" i="1"/>
  <c r="M25" i="1" s="1"/>
  <c r="R25" i="1" s="1"/>
  <c r="J27" i="1"/>
  <c r="M27" i="1" s="1"/>
  <c r="S27" i="1" s="1"/>
  <c r="J28" i="1"/>
  <c r="M28" i="1" s="1"/>
  <c r="S28" i="1" s="1"/>
  <c r="J29" i="1"/>
  <c r="M29" i="1" s="1"/>
  <c r="S29" i="1" s="1"/>
  <c r="J30" i="1"/>
  <c r="M30" i="1" s="1"/>
  <c r="R30" i="1" s="1"/>
  <c r="J31" i="1"/>
  <c r="M31" i="1" s="1"/>
  <c r="R31" i="1" s="1"/>
  <c r="J33" i="1"/>
  <c r="M33" i="1" s="1"/>
  <c r="J34" i="1"/>
  <c r="M34" i="1" s="1"/>
  <c r="R34" i="1" s="1"/>
  <c r="J38" i="1"/>
  <c r="M38" i="1" s="1"/>
  <c r="R38" i="1" s="1"/>
  <c r="J39" i="1"/>
  <c r="M39" i="1" s="1"/>
  <c r="S39" i="1" s="1"/>
  <c r="J40" i="1"/>
  <c r="M40" i="1" s="1"/>
  <c r="S40" i="1" s="1"/>
  <c r="J42" i="1"/>
  <c r="M42" i="1" s="1"/>
  <c r="R42" i="1" s="1"/>
  <c r="J43" i="1"/>
  <c r="M43" i="1" s="1"/>
  <c r="R43" i="1" s="1"/>
  <c r="J44" i="1"/>
  <c r="M44" i="1" s="1"/>
  <c r="R44" i="1" s="1"/>
  <c r="J45" i="1"/>
  <c r="M45" i="1" s="1"/>
  <c r="R45" i="1" s="1"/>
  <c r="J46" i="1"/>
  <c r="M46" i="1" s="1"/>
  <c r="R46" i="1" s="1"/>
  <c r="J47" i="1"/>
  <c r="M47" i="1" s="1"/>
  <c r="R47" i="1" s="1"/>
  <c r="J48" i="1"/>
  <c r="M48" i="1" s="1"/>
  <c r="R48" i="1" s="1"/>
  <c r="J49" i="1"/>
  <c r="M49" i="1" s="1"/>
  <c r="R49" i="1" s="1"/>
  <c r="J51" i="1"/>
  <c r="M51" i="1" s="1"/>
  <c r="S51" i="1" s="1"/>
  <c r="J52" i="1"/>
  <c r="M52" i="1" s="1"/>
  <c r="S52" i="1" s="1"/>
  <c r="J53" i="1"/>
  <c r="M53" i="1" s="1"/>
  <c r="S53" i="1" s="1"/>
  <c r="J54" i="1"/>
  <c r="M54" i="1" s="1"/>
  <c r="R54" i="1" s="1"/>
  <c r="J56" i="1"/>
  <c r="M56" i="1" s="1"/>
  <c r="R56" i="1" s="1"/>
  <c r="J57" i="1"/>
  <c r="M57" i="1" s="1"/>
  <c r="R57" i="1" s="1"/>
  <c r="J58" i="1"/>
  <c r="M58" i="1" s="1"/>
  <c r="R58" i="1" s="1"/>
  <c r="J59" i="1"/>
  <c r="M59" i="1" s="1"/>
  <c r="R59" i="1" s="1"/>
  <c r="J60" i="1"/>
  <c r="M60" i="1" s="1"/>
  <c r="S60" i="1" s="1"/>
  <c r="J62" i="1"/>
  <c r="M62" i="1" s="1"/>
  <c r="R62" i="1" s="1"/>
  <c r="J63" i="1"/>
  <c r="M63" i="1" s="1"/>
  <c r="S63" i="1" s="1"/>
  <c r="M65" i="1"/>
  <c r="S65" i="1" s="1"/>
  <c r="M66" i="1"/>
  <c r="R66" i="1" s="1"/>
  <c r="J67" i="1"/>
  <c r="M67" i="1" s="1"/>
  <c r="R67" i="1" s="1"/>
  <c r="J69" i="1"/>
  <c r="M69" i="1" s="1"/>
  <c r="R69" i="1" s="1"/>
  <c r="J71" i="1"/>
  <c r="M71" i="1" s="1"/>
  <c r="R71" i="1" s="1"/>
  <c r="J2" i="1"/>
  <c r="M2" i="1" s="1"/>
  <c r="S2" i="1" s="1"/>
  <c r="P3" i="1"/>
  <c r="P4" i="1"/>
  <c r="P6" i="1"/>
  <c r="P8" i="1"/>
  <c r="P9" i="1"/>
  <c r="P10" i="1"/>
  <c r="P11" i="1"/>
  <c r="P13" i="1"/>
  <c r="P14" i="1"/>
  <c r="P15" i="1"/>
  <c r="P16" i="1"/>
  <c r="P22" i="1"/>
  <c r="P23" i="1"/>
  <c r="P24" i="1"/>
  <c r="P25" i="1"/>
  <c r="P27" i="1"/>
  <c r="P28" i="1"/>
  <c r="P29" i="1"/>
  <c r="P30" i="1"/>
  <c r="P31" i="1"/>
  <c r="P33" i="1"/>
  <c r="P34" i="1"/>
  <c r="P36" i="1"/>
  <c r="P38" i="1"/>
  <c r="P39" i="1"/>
  <c r="P40" i="1"/>
  <c r="P42" i="1"/>
  <c r="P43" i="1"/>
  <c r="P44" i="1"/>
  <c r="P45" i="1"/>
  <c r="P46" i="1"/>
  <c r="P47" i="1"/>
  <c r="P48" i="1"/>
  <c r="P49" i="1"/>
  <c r="P51" i="1"/>
  <c r="P52" i="1"/>
  <c r="P53" i="1"/>
  <c r="P54" i="1"/>
  <c r="P56" i="1"/>
  <c r="P57" i="1"/>
  <c r="P58" i="1"/>
  <c r="P59" i="1"/>
  <c r="P60" i="1"/>
  <c r="P62" i="1"/>
  <c r="P63" i="1"/>
  <c r="P65" i="1"/>
  <c r="P66" i="1"/>
  <c r="P67" i="1"/>
  <c r="P69" i="1"/>
  <c r="P71" i="1"/>
  <c r="P2" i="1"/>
  <c r="U66" i="1"/>
  <c r="AA66" i="1"/>
  <c r="AB66" i="1" s="1"/>
  <c r="AA20" i="1"/>
  <c r="O33" i="1" l="1"/>
  <c r="R20" i="1"/>
  <c r="T20" i="1" s="1"/>
  <c r="R29" i="1"/>
  <c r="T29" i="1" s="1"/>
  <c r="R17" i="1"/>
  <c r="T17" i="1" s="1"/>
  <c r="S38" i="1"/>
  <c r="T38" i="1" s="1"/>
  <c r="R60" i="1"/>
  <c r="T60" i="1" s="1"/>
  <c r="S14" i="1"/>
  <c r="T14" i="1" s="1"/>
  <c r="R53" i="1"/>
  <c r="T53" i="1" s="1"/>
  <c r="R19" i="1"/>
  <c r="S62" i="1"/>
  <c r="T62" i="1" s="1"/>
  <c r="S19" i="1"/>
  <c r="R65" i="1"/>
  <c r="T65" i="1" s="1"/>
  <c r="O20" i="1"/>
  <c r="R52" i="1"/>
  <c r="T52" i="1" s="1"/>
  <c r="R40" i="1"/>
  <c r="T40" i="1" s="1"/>
  <c r="R28" i="1"/>
  <c r="T28" i="1" s="1"/>
  <c r="R16" i="1"/>
  <c r="T16" i="1" s="1"/>
  <c r="R4" i="1"/>
  <c r="T4" i="1" s="1"/>
  <c r="S49" i="1"/>
  <c r="T49" i="1" s="1"/>
  <c r="S25" i="1"/>
  <c r="T25" i="1" s="1"/>
  <c r="S13" i="1"/>
  <c r="T13" i="1" s="1"/>
  <c r="R63" i="1"/>
  <c r="T63" i="1" s="1"/>
  <c r="R51" i="1"/>
  <c r="T51" i="1" s="1"/>
  <c r="R39" i="1"/>
  <c r="T39" i="1" s="1"/>
  <c r="R27" i="1"/>
  <c r="T27" i="1" s="1"/>
  <c r="R15" i="1"/>
  <c r="T15" i="1" s="1"/>
  <c r="R3" i="1"/>
  <c r="T3" i="1" s="1"/>
  <c r="S48" i="1"/>
  <c r="T48" i="1" s="1"/>
  <c r="S36" i="1"/>
  <c r="T36" i="1" s="1"/>
  <c r="S24" i="1"/>
  <c r="T24" i="1" s="1"/>
  <c r="S71" i="1"/>
  <c r="T71" i="1" s="1"/>
  <c r="S59" i="1"/>
  <c r="T59" i="1" s="1"/>
  <c r="S47" i="1"/>
  <c r="T47" i="1" s="1"/>
  <c r="S23" i="1"/>
  <c r="T23" i="1" s="1"/>
  <c r="S11" i="1"/>
  <c r="T11" i="1" s="1"/>
  <c r="R2" i="1"/>
  <c r="S58" i="1"/>
  <c r="T58" i="1" s="1"/>
  <c r="S46" i="1"/>
  <c r="T46" i="1" s="1"/>
  <c r="S34" i="1"/>
  <c r="T34" i="1" s="1"/>
  <c r="S22" i="1"/>
  <c r="T22" i="1" s="1"/>
  <c r="S10" i="1"/>
  <c r="T10" i="1" s="1"/>
  <c r="S69" i="1"/>
  <c r="T69" i="1" s="1"/>
  <c r="S57" i="1"/>
  <c r="T57" i="1" s="1"/>
  <c r="S45" i="1"/>
  <c r="T45" i="1" s="1"/>
  <c r="S33" i="1"/>
  <c r="S9" i="1"/>
  <c r="T9" i="1" s="1"/>
  <c r="S56" i="1"/>
  <c r="T56" i="1" s="1"/>
  <c r="S44" i="1"/>
  <c r="T44" i="1" s="1"/>
  <c r="S8" i="1"/>
  <c r="T8" i="1" s="1"/>
  <c r="S67" i="1"/>
  <c r="T67" i="1" s="1"/>
  <c r="S43" i="1"/>
  <c r="T43" i="1" s="1"/>
  <c r="S31" i="1"/>
  <c r="T31" i="1" s="1"/>
  <c r="R33" i="1"/>
  <c r="S66" i="1"/>
  <c r="T66" i="1" s="1"/>
  <c r="S54" i="1"/>
  <c r="T54" i="1" s="1"/>
  <c r="S42" i="1"/>
  <c r="T42" i="1" s="1"/>
  <c r="S30" i="1"/>
  <c r="T30" i="1" s="1"/>
  <c r="T6" i="1"/>
  <c r="O23" i="1"/>
  <c r="O8" i="1"/>
  <c r="O17" i="1"/>
  <c r="O47" i="1"/>
  <c r="O54" i="1"/>
  <c r="O56" i="1"/>
  <c r="O28" i="1"/>
  <c r="O69" i="1"/>
  <c r="O15" i="1"/>
  <c r="O29" i="1"/>
  <c r="O6" i="1"/>
  <c r="O3" i="1"/>
  <c r="O27" i="1"/>
  <c r="O4" i="1"/>
  <c r="O43" i="1"/>
  <c r="O65" i="1"/>
  <c r="O45" i="1"/>
  <c r="O71" i="1"/>
  <c r="O16" i="1"/>
  <c r="O11" i="1"/>
  <c r="O57" i="1"/>
  <c r="O66" i="1"/>
  <c r="O53" i="1"/>
  <c r="O52" i="1"/>
  <c r="O42" i="1"/>
  <c r="O40" i="1"/>
  <c r="O67" i="1"/>
  <c r="O30" i="1"/>
  <c r="O49" i="1"/>
  <c r="O63" i="1"/>
  <c r="O51" i="1"/>
  <c r="O39" i="1"/>
  <c r="O59" i="1"/>
  <c r="O9" i="1"/>
  <c r="O2" i="1"/>
  <c r="O44" i="1"/>
  <c r="O58" i="1"/>
  <c r="O46" i="1"/>
  <c r="O34" i="1"/>
  <c r="O31" i="1"/>
  <c r="O25" i="1"/>
  <c r="O13" i="1"/>
  <c r="O22" i="1"/>
  <c r="O10" i="1"/>
  <c r="O62" i="1"/>
  <c r="O38" i="1"/>
  <c r="O14" i="1"/>
  <c r="O60" i="1"/>
  <c r="O48" i="1"/>
  <c r="O36" i="1"/>
  <c r="O24" i="1"/>
  <c r="AB20" i="1"/>
  <c r="AA67" i="1"/>
  <c r="AB67" i="1" s="1"/>
  <c r="U67" i="1"/>
  <c r="T19" i="1" l="1"/>
  <c r="T2" i="1"/>
  <c r="T33" i="1"/>
  <c r="U4" i="1" l="1"/>
  <c r="AA4" i="1"/>
  <c r="AB4" i="1" l="1"/>
  <c r="U3" i="1" l="1"/>
  <c r="U8" i="1"/>
  <c r="U9" i="1"/>
  <c r="U10" i="1"/>
  <c r="U11" i="1"/>
  <c r="U13" i="1"/>
  <c r="U14" i="1"/>
  <c r="U15" i="1"/>
  <c r="U16" i="1"/>
  <c r="U22" i="1"/>
  <c r="U23" i="1"/>
  <c r="U24" i="1"/>
  <c r="U25" i="1"/>
  <c r="U27" i="1"/>
  <c r="U28" i="1"/>
  <c r="U29" i="1"/>
  <c r="U30" i="1"/>
  <c r="U31" i="1"/>
  <c r="U33" i="1"/>
  <c r="U34" i="1"/>
  <c r="U36" i="1"/>
  <c r="U38" i="1"/>
  <c r="U39" i="1"/>
  <c r="U40" i="1"/>
  <c r="U42" i="1"/>
  <c r="U43" i="1"/>
  <c r="U44" i="1"/>
  <c r="U45" i="1"/>
  <c r="U46" i="1"/>
  <c r="U47" i="1"/>
  <c r="U48" i="1"/>
  <c r="U49" i="1"/>
  <c r="U51" i="1"/>
  <c r="U52" i="1"/>
  <c r="U53" i="1"/>
  <c r="U54" i="1"/>
  <c r="U56" i="1"/>
  <c r="U57" i="1"/>
  <c r="U58" i="1"/>
  <c r="U59" i="1"/>
  <c r="U60" i="1"/>
  <c r="U62" i="1"/>
  <c r="U63" i="1"/>
  <c r="U65" i="1"/>
  <c r="U69" i="1"/>
  <c r="U71" i="1"/>
  <c r="U2" i="1"/>
  <c r="AA71" i="1"/>
  <c r="AD72" i="1" s="1"/>
  <c r="AB71" i="1" l="1"/>
  <c r="AA69" i="1"/>
  <c r="AA65" i="1"/>
  <c r="AA63" i="1"/>
  <c r="AA62" i="1"/>
  <c r="AA60" i="1"/>
  <c r="AA59" i="1"/>
  <c r="AA58" i="1"/>
  <c r="AA57" i="1"/>
  <c r="AA56" i="1"/>
  <c r="AA54" i="1"/>
  <c r="AA53" i="1"/>
  <c r="AA52" i="1"/>
  <c r="AA51" i="1"/>
  <c r="AA49" i="1"/>
  <c r="AA48" i="1"/>
  <c r="AA47" i="1"/>
  <c r="AA46" i="1"/>
  <c r="AA45" i="1"/>
  <c r="AA44" i="1"/>
  <c r="AC44" i="1" s="1"/>
  <c r="AA43" i="1"/>
  <c r="AA42" i="1"/>
  <c r="AA36" i="1"/>
  <c r="AA34" i="1"/>
  <c r="AA33" i="1"/>
  <c r="AA31" i="1"/>
  <c r="AA30" i="1"/>
  <c r="AA29" i="1"/>
  <c r="AA28" i="1"/>
  <c r="AA27" i="1"/>
  <c r="AA25" i="1"/>
  <c r="AA24" i="1"/>
  <c r="AA23" i="1"/>
  <c r="AA22" i="1"/>
  <c r="AA19" i="1"/>
  <c r="AA17" i="1"/>
  <c r="AA16" i="1"/>
  <c r="AA15" i="1"/>
  <c r="AA14" i="1"/>
  <c r="AA13" i="1"/>
  <c r="AA11" i="1"/>
  <c r="AA10" i="1"/>
  <c r="AA9" i="1"/>
  <c r="AA8" i="1"/>
  <c r="AA6" i="1"/>
  <c r="AA3" i="1"/>
  <c r="AA2" i="1"/>
  <c r="AB29" i="1" l="1"/>
  <c r="AB15" i="1"/>
  <c r="AB56" i="1"/>
  <c r="AB58" i="1"/>
  <c r="AB14" i="1"/>
  <c r="AB33" i="1"/>
  <c r="AD37" i="1"/>
  <c r="AB36" i="1"/>
  <c r="AB48" i="1"/>
  <c r="AB59" i="1"/>
  <c r="AB45" i="1"/>
  <c r="AB31" i="1"/>
  <c r="AB46" i="1"/>
  <c r="AB16" i="1"/>
  <c r="AB17" i="1"/>
  <c r="AB49" i="1"/>
  <c r="AB60" i="1"/>
  <c r="AB34" i="1"/>
  <c r="AB62" i="1"/>
  <c r="AB54" i="1"/>
  <c r="AB47" i="1"/>
  <c r="AB2" i="1"/>
  <c r="AB19" i="1"/>
  <c r="AB22" i="1"/>
  <c r="AB9" i="1"/>
  <c r="AB24" i="1"/>
  <c r="AB63" i="1"/>
  <c r="AD68" i="1"/>
  <c r="AB65" i="1"/>
  <c r="AB13" i="1"/>
  <c r="AB30" i="1"/>
  <c r="AB57" i="1"/>
  <c r="AB3" i="1"/>
  <c r="AB23" i="1"/>
  <c r="AB42" i="1"/>
  <c r="AB11" i="1"/>
  <c r="AB27" i="1"/>
  <c r="AB43" i="1"/>
  <c r="AB51" i="1"/>
  <c r="AD70" i="1"/>
  <c r="AB69" i="1"/>
  <c r="AB53" i="1"/>
  <c r="AD7" i="1"/>
  <c r="AB6" i="1"/>
  <c r="AB8" i="1"/>
  <c r="AB10" i="1"/>
  <c r="AB25" i="1"/>
  <c r="AB28" i="1"/>
  <c r="AB44" i="1"/>
  <c r="AB52" i="1"/>
  <c r="AD41" i="1"/>
  <c r="AD35" i="1" l="1"/>
  <c r="AD26" i="1"/>
  <c r="AD64" i="1"/>
  <c r="AD32" i="1"/>
  <c r="AD12" i="1"/>
  <c r="AD61" i="1"/>
  <c r="AD5" i="1"/>
  <c r="AD50" i="1"/>
  <c r="AD18" i="1"/>
  <c r="AD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George Danalatos</author>
    <author>Petros Filippousis</author>
  </authors>
  <commentList>
    <comment ref="B3" authorId="0" shapeId="0" xr:uid="{0AB35482-1EBC-4F07-A0CB-E06E797F7047}">
      <text>
        <r>
          <rPr>
            <b/>
            <sz val="9"/>
            <color indexed="81"/>
            <rFont val="Tahoma"/>
            <charset val="1"/>
          </rPr>
          <t>George Danalatos:</t>
        </r>
        <r>
          <rPr>
            <sz val="9"/>
            <color indexed="81"/>
            <rFont val="Tahoma"/>
            <charset val="1"/>
          </rPr>
          <t xml:space="preserve">
ΑΝΤΙΚΑΤΑΣΤΑΣΗ ΜΕ ΟΙΝΟΠΝΕΥΜΑ
</t>
        </r>
      </text>
    </comment>
    <comment ref="T3" authorId="0" shapeId="0" xr:uid="{9DA40713-A6BB-4C60-B3EB-401F2D73C378}">
      <text>
        <r>
          <rPr>
            <b/>
            <sz val="9"/>
            <color indexed="81"/>
            <rFont val="Tahoma"/>
            <family val="2"/>
            <charset val="161"/>
          </rPr>
          <t>George Danalatos:</t>
        </r>
        <r>
          <rPr>
            <sz val="9"/>
            <color indexed="81"/>
            <rFont val="Tahoma"/>
            <family val="2"/>
            <charset val="161"/>
          </rPr>
          <t xml:space="preserve">
ΕΧΕΤΕ ΖΗΤΗΣΕΙ ΑΝΤΙΚΤΑΣΤΑΣΗ ΜΕ ΟΙΝΟΠΝΕΥΜΑ.
</t>
        </r>
      </text>
    </comment>
    <comment ref="R6" authorId="0" shapeId="0" xr:uid="{785C324E-F6F2-4973-97B0-C06047576CD0}">
      <text>
        <r>
          <rPr>
            <b/>
            <sz val="9"/>
            <color indexed="81"/>
            <rFont val="Tahoma"/>
            <family val="2"/>
            <charset val="161"/>
          </rPr>
          <t>George Danalatos:</t>
        </r>
        <r>
          <rPr>
            <sz val="9"/>
            <color indexed="81"/>
            <rFont val="Tahoma"/>
            <family val="2"/>
            <charset val="161"/>
          </rPr>
          <t xml:space="preserve">
ΑΓΟΡΑΖΑΜΕ 500 ΤΕΜΑΧΙΑ ΕΤΗΣΙΩΣ</t>
        </r>
      </text>
    </comment>
    <comment ref="S6" authorId="0" shapeId="0" xr:uid="{E6E44681-D75B-4AAE-8291-32C5C49A42BB}">
      <text>
        <r>
          <rPr>
            <b/>
            <sz val="9"/>
            <color indexed="81"/>
            <rFont val="Tahoma"/>
            <family val="2"/>
            <charset val="161"/>
          </rPr>
          <t>George Danalatos:</t>
        </r>
        <r>
          <rPr>
            <sz val="9"/>
            <color indexed="81"/>
            <rFont val="Tahoma"/>
            <family val="2"/>
            <charset val="161"/>
          </rPr>
          <t xml:space="preserve">
ΜΕ ΒΑΣΗ ΌΤΙ ΑΓΟΡΑΖΑΜΕ 500 ΤΕΜΑΧΙΑ ΕΤΗΣΙΩΣ
</t>
        </r>
      </text>
    </comment>
    <comment ref="U6" authorId="0" shapeId="0" xr:uid="{15FD7D26-D94E-4F69-9AC8-F9CEF5BD37CE}">
      <text>
        <r>
          <rPr>
            <b/>
            <sz val="9"/>
            <color indexed="81"/>
            <rFont val="Tahoma"/>
            <family val="2"/>
            <charset val="161"/>
          </rPr>
          <t>George Danalatos:</t>
        </r>
        <r>
          <rPr>
            <sz val="9"/>
            <color indexed="81"/>
            <rFont val="Tahoma"/>
            <family val="2"/>
            <charset val="161"/>
          </rPr>
          <t xml:space="preserve">
ΘΑ ΑΓΟΡΑΖΑΜΕ ΑΛΛΑ 151 ΤΕΜΑΧΙΑ
</t>
        </r>
      </text>
    </comment>
    <comment ref="U19" authorId="0" shapeId="0" xr:uid="{5580B0A9-CB9A-446D-8DF5-33B0F6364A2C}">
      <text>
        <r>
          <rPr>
            <b/>
            <sz val="9"/>
            <color indexed="81"/>
            <rFont val="Tahoma"/>
            <family val="2"/>
            <charset val="161"/>
          </rPr>
          <t>George Danalatos:</t>
        </r>
        <r>
          <rPr>
            <sz val="9"/>
            <color indexed="81"/>
            <rFont val="Tahoma"/>
            <family val="2"/>
            <charset val="161"/>
          </rPr>
          <t xml:space="preserve">
ΜΕΣΗ ΤΙΜΗ ΠΑΛΙΟΥ ΕΙΔΟΥΣ</t>
        </r>
      </text>
    </comment>
    <comment ref="AC19" authorId="0" shapeId="0" xr:uid="{9DB51EE9-4E01-43E4-9752-2585274188AF}">
      <text>
        <r>
          <rPr>
            <b/>
            <sz val="9"/>
            <color indexed="81"/>
            <rFont val="Tahoma"/>
            <family val="2"/>
            <charset val="161"/>
          </rPr>
          <t>George Danalatos:</t>
        </r>
        <r>
          <rPr>
            <sz val="9"/>
            <color indexed="81"/>
            <rFont val="Tahoma"/>
            <family val="2"/>
            <charset val="161"/>
          </rPr>
          <t xml:space="preserve">
ΠΟΣΟΤΗΤΕΣ 2025 ΕΠΙ ΤΗΣ ΔΙΑΦΟΡΑΣ ΜΕΣΗΣ ΤΙΜΗΣ</t>
        </r>
      </text>
    </comment>
    <comment ref="B30" authorId="0" shapeId="0" xr:uid="{E0B75ABD-A4EF-43BA-BD33-FD274D4241D2}">
      <text>
        <r>
          <rPr>
            <b/>
            <sz val="9"/>
            <color indexed="81"/>
            <rFont val="Tahoma"/>
            <family val="2"/>
            <charset val="161"/>
          </rPr>
          <t>George Danalatos:</t>
        </r>
        <r>
          <rPr>
            <sz val="9"/>
            <color indexed="81"/>
            <rFont val="Tahoma"/>
            <family val="2"/>
            <charset val="161"/>
          </rPr>
          <t xml:space="preserve">
61000 ΕΠΙΠΛΕΟΝ ΑΠΌ ΣΥΝΕΡΓΕΙΟ ΚΑΘΑΡΙΣΜΟΥ. ΕΧΕΙ ΕΝΤΟΠΙΣΤΕΙ ΚΑΙ ΠΡΟΤΕΙΝΕΤΑΙ ΑΛΛΑΓΗ ΜΕ ΒΙΝΥΛΙΟΥ
</t>
        </r>
      </text>
    </comment>
    <comment ref="B31" authorId="0" shapeId="0" xr:uid="{3177B859-ED3B-43EF-9544-6848CD943FDD}">
      <text>
        <r>
          <rPr>
            <b/>
            <sz val="9"/>
            <color indexed="81"/>
            <rFont val="Tahoma"/>
            <family val="2"/>
            <charset val="161"/>
          </rPr>
          <t>George Danalatos:</t>
        </r>
        <r>
          <rPr>
            <sz val="9"/>
            <color indexed="81"/>
            <rFont val="Tahoma"/>
            <family val="2"/>
            <charset val="161"/>
          </rPr>
          <t xml:space="preserve">
60000 ΣΥΝΕΡΓΕΙΟ ΚΑΘΑΡΙΣΜΟΥ. ΠΡΟΤΕΙΝΟΝΤΑΙ ΒΙΝΥΛΙΟΥ
</t>
        </r>
      </text>
    </comment>
    <comment ref="Z36" authorId="1" shapeId="0" xr:uid="{00000000-0006-0000-0000-000005000000}">
      <text>
        <r>
          <rPr>
            <b/>
            <sz val="9"/>
            <color indexed="81"/>
            <rFont val="Tahoma"/>
            <family val="2"/>
            <charset val="161"/>
          </rPr>
          <t>Petros Filippousis:</t>
        </r>
        <r>
          <rPr>
            <sz val="9"/>
            <color indexed="81"/>
            <rFont val="Tahoma"/>
            <family val="2"/>
            <charset val="161"/>
          </rPr>
          <t xml:space="preserve">
ΥΠΟΛΟΓΙΣΜΟΣ ΣΕ ΛΙΤΡΑ</t>
        </r>
      </text>
    </comment>
    <comment ref="B62" authorId="0" shapeId="0" xr:uid="{573D0279-0AF2-4128-A936-5AB5F1B09A84}">
      <text>
        <r>
          <rPr>
            <b/>
            <sz val="9"/>
            <color indexed="81"/>
            <rFont val="Tahoma"/>
            <family val="2"/>
            <charset val="161"/>
          </rPr>
          <t>George Danalatos:</t>
        </r>
        <r>
          <rPr>
            <sz val="9"/>
            <color indexed="81"/>
            <rFont val="Tahoma"/>
            <family val="2"/>
            <charset val="161"/>
          </rPr>
          <t xml:space="preserve">
ΔΙΑΦΟΡΑ ΣΤΙΣ ΑΓΟΡΕΣ ΛΟΓΩ ΜΙΚΡΟΤΕΡΗΣ ΑΡΧΙΚΗΣ ΠΟΣΟΤΗΤΑΣ ΤΟ 2025</t>
        </r>
      </text>
    </comment>
    <comment ref="B73" authorId="0" shapeId="0" xr:uid="{5E3ADDBB-93F3-4589-BBAB-29DF7881D587}">
      <text>
        <r>
          <rPr>
            <b/>
            <sz val="9"/>
            <color indexed="81"/>
            <rFont val="Tahoma"/>
            <family val="2"/>
            <charset val="161"/>
          </rPr>
          <t>George Danalatos:</t>
        </r>
        <r>
          <rPr>
            <sz val="9"/>
            <color indexed="81"/>
            <rFont val="Tahoma"/>
            <family val="2"/>
            <charset val="161"/>
          </rPr>
          <t xml:space="preserve">
ΑΓΟΡΕΣ PAUL HARTMAN
</t>
        </r>
      </text>
    </comment>
    <comment ref="B74" authorId="0" shapeId="0" xr:uid="{E7CEDBF3-2299-474D-AE14-4ECFED857598}">
      <text>
        <r>
          <rPr>
            <b/>
            <sz val="9"/>
            <color indexed="81"/>
            <rFont val="Tahoma"/>
            <family val="2"/>
            <charset val="161"/>
          </rPr>
          <t>George Danalatos:</t>
        </r>
        <r>
          <rPr>
            <sz val="9"/>
            <color indexed="81"/>
            <rFont val="Tahoma"/>
            <family val="2"/>
            <charset val="161"/>
          </rPr>
          <t xml:space="preserve">
ΑΓΟΡΕΣ HARTMAN</t>
        </r>
      </text>
    </comment>
    <comment ref="B83" authorId="0" shapeId="0" xr:uid="{3A02E9C5-CA27-4BBF-AD05-67049BE08AFE}">
      <text>
        <r>
          <rPr>
            <b/>
            <sz val="9"/>
            <color indexed="81"/>
            <rFont val="Tahoma"/>
            <family val="2"/>
            <charset val="161"/>
          </rPr>
          <t>George Danalatos:</t>
        </r>
        <r>
          <rPr>
            <sz val="9"/>
            <color indexed="81"/>
            <rFont val="Tahoma"/>
            <family val="2"/>
            <charset val="161"/>
          </rPr>
          <t xml:space="preserve">
ΥΠΕΡΒΟΛΙΚΕΣ ΑΓΟΡΕΣ
</t>
        </r>
      </text>
    </comment>
    <comment ref="Q85" authorId="1" shapeId="0" xr:uid="{652EE0E2-1E85-47E2-8F2A-C6298A4E53F5}">
      <text>
        <r>
          <rPr>
            <b/>
            <sz val="9"/>
            <color indexed="81"/>
            <rFont val="Tahoma"/>
            <family val="2"/>
            <charset val="161"/>
          </rPr>
          <t>Petros Filippousis:</t>
        </r>
        <r>
          <rPr>
            <sz val="9"/>
            <color indexed="81"/>
            <rFont val="Tahoma"/>
            <family val="2"/>
            <charset val="161"/>
          </rPr>
          <t xml:space="preserve">
ΜΤ 2,2 + 0,175 μεταφορικα</t>
        </r>
      </text>
    </comment>
    <comment ref="Q86" authorId="1" shapeId="0" xr:uid="{3977EEB7-6CA1-48C2-BD00-21D7B53A83A3}">
      <text>
        <r>
          <rPr>
            <b/>
            <sz val="9"/>
            <color indexed="81"/>
            <rFont val="Tahoma"/>
            <family val="2"/>
            <charset val="161"/>
          </rPr>
          <t>Petros Filippousis:</t>
        </r>
        <r>
          <rPr>
            <sz val="9"/>
            <color indexed="81"/>
            <rFont val="Tahoma"/>
            <family val="2"/>
            <charset val="161"/>
          </rPr>
          <t xml:space="preserve">
η προηγουμενη τιμη του</t>
        </r>
      </text>
    </comment>
    <comment ref="B92" authorId="0" shapeId="0" xr:uid="{2B53AF07-B00C-4768-9895-D243D66061F2}">
      <text>
        <r>
          <rPr>
            <b/>
            <sz val="9"/>
            <color indexed="81"/>
            <rFont val="Tahoma"/>
            <family val="2"/>
            <charset val="161"/>
          </rPr>
          <t>George Danalatos:</t>
        </r>
        <r>
          <rPr>
            <sz val="9"/>
            <color indexed="81"/>
            <rFont val="Tahoma"/>
            <family val="2"/>
            <charset val="161"/>
          </rPr>
          <t xml:space="preserve">
ΔΕΝ ΕΧΕΙ ΑΛΛΑΞΕΙ Η ΤΙΜΗ</t>
        </r>
      </text>
    </comment>
    <comment ref="B97" authorId="0" shapeId="0" xr:uid="{DA792B6A-4978-49C4-8D8E-71A8939C6B11}">
      <text>
        <r>
          <rPr>
            <b/>
            <sz val="9"/>
            <color indexed="81"/>
            <rFont val="Tahoma"/>
            <family val="2"/>
            <charset val="161"/>
          </rPr>
          <t>George Danalatos:</t>
        </r>
        <r>
          <rPr>
            <sz val="9"/>
            <color indexed="81"/>
            <rFont val="Tahoma"/>
            <family val="2"/>
            <charset val="161"/>
          </rPr>
          <t xml:space="preserve">
ΔΕΝ ΕΧΟΥΜΕ ΑΓΟΡΕΣ ΝΕΟΥ ΕΙΔΟΥΣ</t>
        </r>
      </text>
    </comment>
  </commentList>
</comments>
</file>

<file path=xl/sharedStrings.xml><?xml version="1.0" encoding="utf-8"?>
<sst xmlns="http://schemas.openxmlformats.org/spreadsheetml/2006/main" count="448" uniqueCount="246">
  <si>
    <t>ΚΩΔΙΚΟΣ</t>
  </si>
  <si>
    <t>ΠΕΡΙΓΡΑΦΗ</t>
  </si>
  <si>
    <t>ΕΤΑΙΡΕΙΑ</t>
  </si>
  <si>
    <t>ΝΕΑ ΤΙΜΗ TMX</t>
  </si>
  <si>
    <t>ΔΙΑΦΟΡΑ 
ΤΙΜΗΣ</t>
  </si>
  <si>
    <t>ΣΥΝΟΛΑ</t>
  </si>
  <si>
    <t>11000032-1</t>
  </si>
  <si>
    <t>Αποστειρωμένα Πεδία 90x150</t>
  </si>
  <si>
    <t>Paul Hartmann</t>
  </si>
  <si>
    <t>Αποστειρωμένα Πεδία 100χ150</t>
  </si>
  <si>
    <t>ΤΑΜΠΟΥ</t>
  </si>
  <si>
    <t>12100016-1</t>
  </si>
  <si>
    <t>ΣΠΡΕΥ ΑΦΑΙΡΕΤΙΚΟ ΕΠΙΘΕΜΑΤΩΝ 50ML REMOVER</t>
  </si>
  <si>
    <t>ΚΑΖΑΝΑΣ</t>
  </si>
  <si>
    <t>ΚΩΣΤΑΡΑΣ</t>
  </si>
  <si>
    <t>ΣΥΝΟΛΟ</t>
  </si>
  <si>
    <t>12100016</t>
  </si>
  <si>
    <t>ΚΑΤΑΡΓΗΣΗ</t>
  </si>
  <si>
    <t>PEHA MICRON PLUS ΧΠ ΑΠΟΣΤ 6,5</t>
  </si>
  <si>
    <t>PEHA MICRON PLUS ΧΠ ΑΠΟΣΤ 7</t>
  </si>
  <si>
    <t>11111009-1</t>
  </si>
  <si>
    <t>ΧΕΙΡ/ΚΑ ΓΑΝΤΙΑ ΜΙΚΡΟΧ/ΚΗΣ MEDLINE Χ.Π. Νο7</t>
  </si>
  <si>
    <t>PEHA MICRON PLUS ΧΠ ΑΠΟΣΤ 7,5</t>
  </si>
  <si>
    <t>11111010-1</t>
  </si>
  <si>
    <t>ΧΕΙΡ/ΚΑ ΓΑΝΤΙΑ ΜΙΚΡΟΧ/ΚΗΣ MEDLINE Χ.Π. Νο7.5</t>
  </si>
  <si>
    <t>PEHA MICRON PLUS ΧΠ ΑΠΟΣΤ 8</t>
  </si>
  <si>
    <t>11111011-1</t>
  </si>
  <si>
    <t>ΧΕΙΡ/ΚΑ ΓΑΝΤΙΑ ΜΙΚΡΟΧ/ΚΗΣ MEDLINE Χ.Π. Νο8</t>
  </si>
  <si>
    <t>11111002-2</t>
  </si>
  <si>
    <t>PEHA TAFT classic powder free  Νο 6.5</t>
  </si>
  <si>
    <t>11111003-2</t>
  </si>
  <si>
    <t>PEHA TAFT classic powder free No 7</t>
  </si>
  <si>
    <t>11111003-4</t>
  </si>
  <si>
    <t>ΧΕΙΡ/ΚΑ ΓΑΝΤΙΑ  MEDLINE Χ.Π. Νο7</t>
  </si>
  <si>
    <t>11111004-3</t>
  </si>
  <si>
    <t>PEHA TAFT classic powder free Νο 7.5</t>
  </si>
  <si>
    <t>11111004-8</t>
  </si>
  <si>
    <t>ΧΕΙΡ/ΚΑ ΓΑΝΤΙΑ  MEDLINE Χ.Π. Νο7.5</t>
  </si>
  <si>
    <t>11111005-1</t>
  </si>
  <si>
    <t>PEHA TAFT classic powder free Νο 8</t>
  </si>
  <si>
    <t>11111005-6</t>
  </si>
  <si>
    <t>ΧΕΙΡ/ΚΑ ΓΑΝΤΙΑ  MEDLINE Χ.Π. Νο8</t>
  </si>
  <si>
    <t>11111006-2</t>
  </si>
  <si>
    <t>PEHA TAFT classic powder free  Νο 8.5</t>
  </si>
  <si>
    <t>11111006-3</t>
  </si>
  <si>
    <t>ΧΕΙΡ/ΚΑ ΓΑΝΤΙΑ MEDLINE Χ.Π. Νο 8.5</t>
  </si>
  <si>
    <t>11010001-2</t>
  </si>
  <si>
    <t>ΒΕΛΟΝΕΣ ΡΟΗΣ 18G ΜΕ ΠΛΑΓΙΑ ΟΠΗ &amp; ΑΕΡΑΓΩΓΟ</t>
  </si>
  <si>
    <t>Βελόνες G18 (Ροζ)</t>
  </si>
  <si>
    <t>Σύριγγες Με Βελόνα 2.5ml</t>
  </si>
  <si>
    <t>ΠΟΛΛΑΠΛΟΙ</t>
  </si>
  <si>
    <t>Σύριγγες Με Βελόνα 5ml</t>
  </si>
  <si>
    <t>Σύριγγες Με Βελόνα 10ml</t>
  </si>
  <si>
    <t>Σύριγγες Με Βελόνα 20ml</t>
  </si>
  <si>
    <t>ΣΥΣΚΕΥΕΣ DIAL FLO</t>
  </si>
  <si>
    <t>11000009</t>
  </si>
  <si>
    <t>3Way BD</t>
  </si>
  <si>
    <t>ΑΡΑΠΗΣ Π. &amp; ΣΙΑ ΟΕ</t>
  </si>
  <si>
    <t>11000009-XX</t>
  </si>
  <si>
    <t xml:space="preserve">3Way </t>
  </si>
  <si>
    <t>11014000</t>
  </si>
  <si>
    <t>Γάζα Απλή 10χ10 ΑΠΟΣΤΕΙΡΩΜΕΝΗ 8ply (ΠΑΚ 10τμχ)</t>
  </si>
  <si>
    <t>ΤΑΜΠΟΥ Σ. &amp; ΣΙΑ ΕΕ</t>
  </si>
  <si>
    <t>11011002-3</t>
  </si>
  <si>
    <t>Γάντια NITR MEDIUM</t>
  </si>
  <si>
    <t>11011003-3</t>
  </si>
  <si>
    <t>Γάντια NITR LARGE</t>
  </si>
  <si>
    <t>Μάσκες Venturi</t>
  </si>
  <si>
    <t>ΚΑΛΑΘΙΑΝΑΚΗΣ</t>
  </si>
  <si>
    <t>11018004</t>
  </si>
  <si>
    <t>Μάσκες o2 Απλές</t>
  </si>
  <si>
    <t>16223021-14</t>
  </si>
  <si>
    <t>BACTOLIN PURE 5 LITRE</t>
  </si>
  <si>
    <t>PAUL HARTMANN HELLAS AE</t>
  </si>
  <si>
    <t>BACTI SOAP PREMIUM 4lt</t>
  </si>
  <si>
    <t>ΨΗΜΙΤΗ</t>
  </si>
  <si>
    <t>16223010-1</t>
  </si>
  <si>
    <t>TORK Matic Extra Long ΧΕΙΡΟΠΕΤΣΕΤΑ ΣE ΡΟΛΟ ΛΕΥΚΗ H1</t>
  </si>
  <si>
    <t>ΓΑΛΑΓΚΟΥΡΑΚΗΣ ΣΤΥΛΙΑΝΟΣ Μ.ΕΠΕ</t>
  </si>
  <si>
    <t>16223010-5</t>
  </si>
  <si>
    <t>TORK Σαπούνι σε Αφρό Mild</t>
  </si>
  <si>
    <t>16223010-3</t>
  </si>
  <si>
    <t>TORK SMARTONE Ρολό Υγείας</t>
  </si>
  <si>
    <t>11016037-5</t>
  </si>
  <si>
    <t>ΦΛΕΒΟΚΑΘΕΤΗΡΑΣ VASOFIX IV G18X33mm GREEN</t>
  </si>
  <si>
    <t>ΒΙΟΣΕΡ ΑΕ</t>
  </si>
  <si>
    <t>Φλεβοκαθετήρες CATHULA 18G (πράσινος)</t>
  </si>
  <si>
    <t>ΕΒΟ</t>
  </si>
  <si>
    <t>11016038-4</t>
  </si>
  <si>
    <t>ΦΛΕΒΟΚΑΘΕΤΗΡΑΣ VASOFIXIV G20X33mm PINK</t>
  </si>
  <si>
    <t>Φλεβοκαθετήρες CATHULA G20 (ροζ)</t>
  </si>
  <si>
    <t>11000023</t>
  </si>
  <si>
    <t>Συσκευες Ορου</t>
  </si>
  <si>
    <t>11000004</t>
  </si>
  <si>
    <t>Ζώνη Αιμοληψίας</t>
  </si>
  <si>
    <t>11016002-1</t>
  </si>
  <si>
    <t>Foley 2way Silicon No16</t>
  </si>
  <si>
    <t>11016003-1</t>
  </si>
  <si>
    <t>Foley 2Way Silcon No18</t>
  </si>
  <si>
    <t>11016001-1</t>
  </si>
  <si>
    <t>Foley 2way Silicon No14</t>
  </si>
  <si>
    <t>11016004-1</t>
  </si>
  <si>
    <t>Foley 2way Silicon No20</t>
  </si>
  <si>
    <t>11014026</t>
  </si>
  <si>
    <t>Γάζα Απλή 10χ20 Μη Αποστειρωμένη 8ply (100τμχ)</t>
  </si>
  <si>
    <t>ΚΑΡΑΜΠΙΝΗΣ MEDICAL ΑΕ</t>
  </si>
  <si>
    <t>11014024</t>
  </si>
  <si>
    <t>Γάζα Απλή 5χ5 Μη Αποστειρωμένη 8ply (100τμχ)</t>
  </si>
  <si>
    <t>11014025</t>
  </si>
  <si>
    <t>Γάζα Απλή 10χ10 Μη Αποστειρωμένη 8ply (ΠΑΚ 100τμχ)</t>
  </si>
  <si>
    <t>11014030</t>
  </si>
  <si>
    <t>Κομπρέσα Xray 40χ40 8ply Μη Αποστειρωμένη</t>
  </si>
  <si>
    <t>11015012</t>
  </si>
  <si>
    <t>Εσώρουχο Ασθενούς Δετό</t>
  </si>
  <si>
    <t>HAN AE</t>
  </si>
  <si>
    <t>11015005</t>
  </si>
  <si>
    <t>Σκουφάκι Χ/ου Ανδρικό Δετό Πίσω</t>
  </si>
  <si>
    <t>11015010-1</t>
  </si>
  <si>
    <t>Παντελόνι ΚΟΝΤΟ Boxer SMS Large</t>
  </si>
  <si>
    <t>11015006</t>
  </si>
  <si>
    <t>Σκουφάκι Χ/ου Λάστιχο Ολόγυρα</t>
  </si>
  <si>
    <t>11015008</t>
  </si>
  <si>
    <t>Σκουφάκι Χ/ου Λάστιχο Πίσω</t>
  </si>
  <si>
    <t>11015011</t>
  </si>
  <si>
    <t>Ρόμπα Ασθεν SMS Kardio (Αμάνικη)</t>
  </si>
  <si>
    <t>11015003</t>
  </si>
  <si>
    <t>Ρόμπες Ασθ.Αδ/χες (Μπλε) μακρύ μανίκι με μανσέτα</t>
  </si>
  <si>
    <t>11500032</t>
  </si>
  <si>
    <t>ΚΥΚΛΩΜΑ ΑΝΑΙΣΘΗΣΙΑΣ ΛΕΙΑΣ ΕΠΙΦΑΝΕΙΑΣ ΜΕ ΑΣΚΟ</t>
  </si>
  <si>
    <t>ΒΙΟΙΑΤΡΙΚΗ ΤΕΧΝΟΛΟΓΙΑ ΙΚΕ</t>
  </si>
  <si>
    <t>11014022</t>
  </si>
  <si>
    <t>Ταινίες Επίδεσης Durapore 5cm-Μετάξι ref:1538-2</t>
  </si>
  <si>
    <t>ΜΙΓΚΟΣ ΝΙΚΟΣ ΚΑΙ ΣΙΑ ΕΕ</t>
  </si>
  <si>
    <t>ΜΠΟΥΡΝΑΣ</t>
  </si>
  <si>
    <t>ΧΕΙΡ/ΚΑ ΓΑΝΤΙΑ  MEDLINE Χ.Π. Νο6.5</t>
  </si>
  <si>
    <t>CD230140 CLIMADRAPE 230X140CM ΚΑΛ.ΧΕΙΡ.</t>
  </si>
  <si>
    <t>Q000005137</t>
  </si>
  <si>
    <t>SURGILIFE</t>
  </si>
  <si>
    <t>Q000022968</t>
  </si>
  <si>
    <t>ΑΠΟΡ/ΚΟ ΠΕΔΙΟ &amp; ΣΕΝΤΟΝΙ ΜΕΤΑΦΟΡΑΣ ΑΣΘΕΝΟΥΣ</t>
  </si>
  <si>
    <t>ΠΟΣΟΣΤΙΑΙΑ ΜΕΙΩΣΗ ΤΙΜΗΣ</t>
  </si>
  <si>
    <t>ΧΕΙΡ/ΚΑ ΓΑΝΤΙΑ ΜΙΚΡΟΧ/ΚΗΣ MEDLINE Χ.Π. Νο6.5</t>
  </si>
  <si>
    <t>ΦΙΛΤΡΑ ΑΝΑΠ/ΡΑ ΚΑΠΝΟΓΡΑΦΟΥ</t>
  </si>
  <si>
    <t>MEDTRONIC</t>
  </si>
  <si>
    <t>ΑΝΤΙΜΙΚΡΟΒΙΑΚΟ ΦΙΛΤΡΟ ΜΕ ΠΡΟΕΚΤΑΣΗ 19611</t>
  </si>
  <si>
    <r>
      <t xml:space="preserve">ΣΠΡΕΥ ΑΦΑΙΡΕΤΙΚΟ ΕΠΙΘΕΜΑΤΩΝ 50ML REMOVER </t>
    </r>
    <r>
      <rPr>
        <b/>
        <sz val="9"/>
        <color rgb="FFFF0000"/>
        <rFont val="Calibri"/>
        <family val="2"/>
        <charset val="161"/>
      </rPr>
      <t>(έχετε ζητήσει μείωση κατανάλωσης)</t>
    </r>
  </si>
  <si>
    <t>Foley 2way Silicon No18</t>
  </si>
  <si>
    <t>11500032-5</t>
  </si>
  <si>
    <t>ΚΥΚΛΩΜΑ ΑΝΑΠΝΕΥΣΤΗΡΑ ΕΝΗΛΙΚΩΝ ΑΠΟΣΤΕΙΡΩΜΕΝΟ</t>
  </si>
  <si>
    <t>MEDISUP</t>
  </si>
  <si>
    <t>11500032-1</t>
  </si>
  <si>
    <t>ΚΥΚΛΩΜΑ ΑΝΑΙΣΘΗΣΙΑΣ 180cm ΜΕ ΑΣΚΟ</t>
  </si>
  <si>
    <t>ΚΥΚΛΩΜΑ ΑΝΑΙΣΘΗΣΙΑΣ 180cm RUSCH</t>
  </si>
  <si>
    <t>ΚΑΖΑΝΑΣ ΑΘΑΝΑΣΙΟΣ</t>
  </si>
  <si>
    <t>Y-LOGIMED/ΑΡΑΠΗΣ</t>
  </si>
  <si>
    <t>11111002-3</t>
  </si>
  <si>
    <t>11111008-1</t>
  </si>
  <si>
    <t>ΣΠΡΕΥ ΕΞΟΥΔΕΤΕΡΩΣΗΣ ΟΣΜΩΝ*</t>
  </si>
  <si>
    <t>ΚΑΛΑΘΙΑΝΑΚΗΣ/ΤΑΜΠΟΥ</t>
  </si>
  <si>
    <t>ΠΙΣΤΩΤΙΚΟ 14% ΕΠΙ ΤΗΣ ΝΕΑ ΤΙΜΗΣ ΓΙΑ ΑΓΟΡΕΣ ΠΑΝΩ ΑΠΌ 60.000€ ΕΤΗΣΙΟΣ ΤΖΙΡΟΣ 2025 73.193,06+ΦΠΑ</t>
  </si>
  <si>
    <t>ΠΑΛΙΑ ΤΙΜΗ ΥΛΙΚΟΥ</t>
  </si>
  <si>
    <t>ΣΥΝΟΛΙΚΕΣ ΑΓΟΡΕΣ 2024</t>
  </si>
  <si>
    <t>ΑΓΟΡΕΣ 2025 ΠΑΛΙΟΥ ΥΛΙΚΟΥ/ΠΑΛΙΑ ΤΙΜΗ</t>
  </si>
  <si>
    <t>ΑΓΟΡΕΣ 2025 ΝΕΟΥ ΥΛΙΚΟΥ/ΝΕΑ ΤΙΜΗ</t>
  </si>
  <si>
    <t>ΣΥΝΟΛΙΚΕΣ ΑΓΟΡΕΣ 2025</t>
  </si>
  <si>
    <t>ΑΠΟΓΡΑΦΗ ΑΡΧΗ 2024</t>
  </si>
  <si>
    <t>ΑΠΟΓΡΑΦΗ ΑΡΧΗ 2025</t>
  </si>
  <si>
    <t>ΑΠΟΓΡΑΦΗ ΑΡΧΗ 2026</t>
  </si>
  <si>
    <t xml:space="preserve"> ΚΑΤΑΝΑΛΩΣΗ 2024</t>
  </si>
  <si>
    <t xml:space="preserve"> ΚΑΤΑΝΑΛΩΣΗ 2025</t>
  </si>
  <si>
    <r>
      <t xml:space="preserve">ΕΤΗΣΙΑ ΑΝΑΓΩΓΗ   ΚΕΡΔΟΥΣ ΜΕ ΒΑΣΗ ΤΗΝ ΚΑΤΑΝΑΛΩΣΗ ΤΟΥ 2025 ΑΠΌ ΤΗΝ </t>
    </r>
    <r>
      <rPr>
        <b/>
        <u/>
        <sz val="9"/>
        <color rgb="FFFF0000"/>
        <rFont val="Calibri"/>
        <family val="2"/>
        <charset val="161"/>
      </rPr>
      <t>ΝΕΑ ΤΙΜΗ</t>
    </r>
  </si>
  <si>
    <t>Q000023608</t>
  </si>
  <si>
    <t>ΑΞΙΑ ΑΓΟΡΩΝ ΝΕΟΥ ΕΙΔΟΥΣ/ΤΙΜΗΣ ΜΕ ΒΑΣΗ ΤΗΝ ΠΑΛΙΑ ΤΙΜΗ</t>
  </si>
  <si>
    <t xml:space="preserve">ΟΦΕΛΟΣ ΑΠΌ ΤΙΣ ΑΓΟΡΕΣ ΜΕ ΤΟ ΝΈΟ ΕΙΔΟΣ/ΤΙΜΗ
</t>
  </si>
  <si>
    <t>ΕΤΗΣΙΟ ΚΟΣΤΟΣ ΚΑΤΑΝΑΛΩΣΗΣ ΒΑΣΕΙ ΠΟΣΟΤΗΤΩΝ  2025 ΜΕ ΤΗΝ ΠΑΛΙΑ ΤΙΜΗ</t>
  </si>
  <si>
    <t>ΕΤΗΣΙΟ ΚΟΣΤΟΣ ΚΑΤΑΝΑΛΩΣΗΣ ΒΑΣΕΙ ΠΟΣΟΤΗΤΩΝ 2025 ΜΕ ΤΗΝ ΝΕΑ  ΤΙΜΗ</t>
  </si>
  <si>
    <t>ΠΙΣΤΩΤΙΚΟ ΤΙΜΟΛΟΓΙΟ</t>
  </si>
  <si>
    <t>% ΜΕΤΑΒΟΛΗ ΚΑΤΑΝΑΛΩΣΗΣ ΑΠΌ 2024 ΣΕ 2025</t>
  </si>
  <si>
    <t>% ΜΕΤΑΒΟΛΗ ΑΓΟΡΩΝ ΑΠΌ 2024 ΣΕ 2025</t>
  </si>
  <si>
    <t>11023001</t>
  </si>
  <si>
    <t>Υποστρώματα 60χ90</t>
  </si>
  <si>
    <t>MEDITECH M.ΕΠΕ</t>
  </si>
  <si>
    <t>11023002-1</t>
  </si>
  <si>
    <t>Πάνες Ενηλίκων Νο4 X-large</t>
  </si>
  <si>
    <t>11023008</t>
  </si>
  <si>
    <t>Πάπιες Γυναικείες-ΣΚΟΡΑΜΙΔΕΣ</t>
  </si>
  <si>
    <t>11023007</t>
  </si>
  <si>
    <t>Πάπιες Ανδρικές</t>
  </si>
  <si>
    <t>11011002-2</t>
  </si>
  <si>
    <t>Γάντια Latex Medium (χωρίς πούδρα)</t>
  </si>
  <si>
    <t>11011003-2</t>
  </si>
  <si>
    <t>Γάντια Latex Large (χωρίς πούδρα)</t>
  </si>
  <si>
    <t>Q000011385</t>
  </si>
  <si>
    <t>ΦΙΛΤΡΟ ΤΡΑΧΕΙΟΣΤΟΜΙΑΣ SMM-100/570/022  ΜΕ ΔΥΝΑΤΟΤΗΤΑ ΑΝΑΡΡΟΦΗΣΗΣ</t>
  </si>
  <si>
    <t>Y-LOGIMED</t>
  </si>
  <si>
    <t>Q000002271</t>
  </si>
  <si>
    <t>ΦΙΛΤΡΑ AIR SAFETY ΧΩΡΙΣ ΠΡΟΕΚΤΑΣΗ</t>
  </si>
  <si>
    <t>11023017-2</t>
  </si>
  <si>
    <t>ΠΕΤΣΕΤΑ ARLAID 38x40 ΛΕΥΚΗ</t>
  </si>
  <si>
    <t>12000035-1</t>
  </si>
  <si>
    <t>TEGADERM ΑΥΤΟΚΟΛΛΗΤΟ ΑΝΤΙΜΙΚΡΟΒΙΑΚΟ ΕΠΙΘΕΜΑ I.V. ΜΕ ΧΛΩΡΕΞΙΔΙΝΗ 8.5 Χ 11.5 CM</t>
  </si>
  <si>
    <t>ΙΑΤΡΙΚΑ ΒΟΗΘΗΜΑΤΑ</t>
  </si>
  <si>
    <t>Q000005520</t>
  </si>
  <si>
    <t>SURGICAL GOWN XL</t>
  </si>
  <si>
    <t>MOLNLYCKE</t>
  </si>
  <si>
    <t>Q000012523</t>
  </si>
  <si>
    <t>ΜΠΛΟΥΖΑ ΧΕΙΡ ΑΠΟΣΤ ΕΝΙΣΧ</t>
  </si>
  <si>
    <t>11051018-92</t>
  </si>
  <si>
    <t>Clinell Universal  WIPES PACK 200 CW200</t>
  </si>
  <si>
    <t>ΒΙΟΚΟΝ</t>
  </si>
  <si>
    <t>TR210582</t>
  </si>
  <si>
    <t>ΑΙΜΟΣΤΑΤΙΚΟ ΠΙΕΣΤΡΟ ΚΕΡΚΙΔΙΚΗΣ TR BAND</t>
  </si>
  <si>
    <t>Μ.Σ. ΙΑΚΩΒΙΔΗΣ ΕΛΛΑΣ ΑΕ</t>
  </si>
  <si>
    <t>H74904526011</t>
  </si>
  <si>
    <t>ENCORE ΣΥΣΚΕΥΗ ΠΛΗΡΩΣΗΣ 26 ΑΤΜ</t>
  </si>
  <si>
    <t>BOSTON SCIENTIFIC AE</t>
  </si>
  <si>
    <t>M001151050</t>
  </si>
  <si>
    <t>ΣΥΣΚΕΥΗ ΠΛΗΡΩΣΗΣ ENCORE 26(PI)</t>
  </si>
  <si>
    <t>DPY02B-13</t>
  </si>
  <si>
    <t>ΑΙΜΟΣΤΑΤΙΚΗ ΒΑΛΒΙΔΑ-ΚΙΤ push-click valve kit</t>
  </si>
  <si>
    <t>ΥΓΕΙΑΣΗ Α.Ε.</t>
  </si>
  <si>
    <t>5602UT-X</t>
  </si>
  <si>
    <t>ΣΤΥΛΕΟΣ 1ας ΧΡΗΣΗΣ ΜΕ ΣΦΟΥΓΓΑΡΑΚΙ ΣΤΟ ΑΚΡΟ ΓΙΑ ΚΑΘΑΡΙΣΜΟ-ΠΕΡΙΠΟΙΗΣΗ  ΧΕΙΛΙΩΝ &amp; ΣΤΟΜΑΤΟΣ</t>
  </si>
  <si>
    <t>ΒΙΟΚΟΝ ΙΑΤΡΙΚΑ</t>
  </si>
  <si>
    <t>NASOGASTRIC TUBE HOLDER -LARGE/ADULT</t>
  </si>
  <si>
    <t>TRACHEOSTOMY TUBE HOLDER 240 BLUE</t>
  </si>
  <si>
    <t>011-MC3322</t>
  </si>
  <si>
    <t>ΣΥΣΚΕΥΗ ΠΡΟΕΚΤΑΣΗΣ ΚΑΘΕΤΗΡΑ ΔΙΠΛΟΥ ΑΥΛΟΥ ΜΕ 2 ΔΙΑΦΑΝΕΙΣ ΒΑΛΒΙΔΕΣ ΑΣΦΑΛΕΙΑΣ MICROCLAVE</t>
  </si>
  <si>
    <t>011-MC100</t>
  </si>
  <si>
    <t>MICROCLAVE CLEAR CONNECTOR</t>
  </si>
  <si>
    <t>EXTENSION SET W FILTER 0.2M (ΦΙΛΤΡ. ΧΗΜΕΙΟΘ.)</t>
  </si>
  <si>
    <t>ΕΝΟΡΑΣΙΣ</t>
  </si>
  <si>
    <t>02.41311U</t>
  </si>
  <si>
    <t>ΥΓΡΑΝΤΗΡΑΣ Trach Vent 41311U</t>
  </si>
  <si>
    <t>ΦΙΛΤΡΟ ΑΝΑΡΡΟΦΗΣΗΣ 19401</t>
  </si>
  <si>
    <t>ΜΙΓΚΟΣ</t>
  </si>
  <si>
    <t>SM-TB-LS-TP</t>
  </si>
  <si>
    <t>ΣΥΣΚ.ΠΙΕΣΗΣ ΚΕΡΚΙΔΙΚ. ΑΡΤΗΡΙΑΣ</t>
  </si>
  <si>
    <t>ΔΟΥΡΜΟΥΣΟΓΛΟΥ ΑΕΒΕ</t>
  </si>
  <si>
    <t>SM-ID-A2530HC14-TB</t>
  </si>
  <si>
    <t>ΣΕΤ ΣΥΣΚ. ΠΛΗΡΩΣΗΣ ΜΠΑΛΟΝΙΟΥ 30ATM</t>
  </si>
  <si>
    <t>12100095-1</t>
  </si>
  <si>
    <t>EXTENSION LINE WITH 0.2mm (ΦΙΛΤΡ. ΧΗΜΕΙΟΘ.ΝΕΟ.)</t>
  </si>
  <si>
    <t xml:space="preserve"> ΚΑΤΑΝΑΛΩΣΗ 2026</t>
  </si>
  <si>
    <t>ΑΓΟΡΕΣ 1ου 6ΜΗΝΟΥ 2026 ΝΕΟΥ ΥΛΙΚΟΥ/ΝΕΑ ΤΙΜΗ</t>
  </si>
  <si>
    <t>02.19401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</si>
</sst>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\ &quot;€&quot;"/>
    <numFmt numFmtId="165" formatCode="#,##0.0000\ _€"/>
    <numFmt numFmtId="166" formatCode="#,##0.0000\ &quot;€&quot;"/>
    <numFmt numFmtId="167" formatCode="#,##0.00\ &quot;€&quot;"/>
    <numFmt numFmtId="168" formatCode="0.000"/>
    <numFmt numFmtId="169" formatCode="#,##0\ &quot;€&quot;"/>
  </numFmts>
  <fonts count="20" x14ac:knownFonts="1">
    <font>
      <sz val="11"/>
      <color theme="1"/>
      <name val="Aptos Narrow"/>
      <family val="2"/>
      <charset val="161"/>
      <scheme val="minor"/>
    </font>
    <font>
      <b/>
      <sz val="9"/>
      <color rgb="FFFF0000"/>
      <name val="Calibri"/>
      <family val="2"/>
      <charset val="161"/>
    </font>
    <font>
      <b/>
      <sz val="9"/>
      <color theme="3" tint="0.499984740745262"/>
      <name val="Calibri"/>
      <family val="2"/>
      <charset val="161"/>
    </font>
    <font>
      <sz val="9"/>
      <color theme="1"/>
      <name val="Calibri"/>
      <family val="2"/>
      <charset val="161"/>
    </font>
    <font>
      <sz val="9"/>
      <name val="Calibri"/>
      <family val="2"/>
      <charset val="161"/>
    </font>
    <font>
      <b/>
      <sz val="9"/>
      <color rgb="FF0070C0"/>
      <name val="Calibri"/>
      <family val="2"/>
      <charset val="161"/>
    </font>
    <font>
      <b/>
      <sz val="9"/>
      <color indexed="81"/>
      <name val="Tahoma"/>
      <family val="2"/>
      <charset val="161"/>
    </font>
    <font>
      <sz val="9"/>
      <color indexed="81"/>
      <name val="Tahoma"/>
      <family val="2"/>
      <charset val="161"/>
    </font>
    <font>
      <b/>
      <sz val="9"/>
      <color theme="1"/>
      <name val="Calibri"/>
      <family val="2"/>
      <charset val="161"/>
    </font>
    <font>
      <sz val="8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1"/>
      <name val="Calibri"/>
      <family val="2"/>
      <charset val="161"/>
    </font>
    <font>
      <b/>
      <sz val="9"/>
      <name val="Calibri"/>
      <family val="2"/>
      <charset val="161"/>
    </font>
    <font>
      <sz val="11"/>
      <name val="Calibri"/>
      <charset val="1"/>
    </font>
    <font>
      <sz val="9"/>
      <color rgb="FFFF0000"/>
      <name val="Calibri"/>
      <family val="2"/>
      <charset val="161"/>
    </font>
    <font>
      <b/>
      <sz val="9"/>
      <name val="Aptos Narrow"/>
      <family val="2"/>
      <charset val="161"/>
      <scheme val="minor"/>
    </font>
    <font>
      <b/>
      <u/>
      <sz val="9"/>
      <color rgb="FFFF0000"/>
      <name val="Calibri"/>
      <family val="2"/>
      <charset val="16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color theme="1"/>
      <name val="Calibri"/>
      <family val="2"/>
      <charset val="161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0" fillId="0" borderId="0"/>
    <xf numFmtId="0" fontId="13" fillId="0" borderId="0"/>
  </cellStyleXfs>
  <cellXfs count="192">
    <xf numFmtId="0" fontId="0" fillId="0" borderId="0" xfId="0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4" fillId="0" borderId="1" xfId="0" applyNumberFormat="1" applyFont="1" applyBorder="1"/>
    <xf numFmtId="167" fontId="2" fillId="0" borderId="1" xfId="0" applyNumberFormat="1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167" fontId="2" fillId="0" borderId="2" xfId="0" applyNumberFormat="1" applyFont="1" applyBorder="1" applyAlignment="1">
      <alignment horizontal="left"/>
    </xf>
    <xf numFmtId="167" fontId="2" fillId="0" borderId="0" xfId="0" applyNumberFormat="1" applyFont="1" applyAlignment="1">
      <alignment horizontal="left"/>
    </xf>
    <xf numFmtId="10" fontId="8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0" fontId="8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8" fontId="3" fillId="0" borderId="0" xfId="0" applyNumberFormat="1" applyFont="1" applyAlignment="1">
      <alignment horizontal="center"/>
    </xf>
    <xf numFmtId="169" fontId="3" fillId="0" borderId="0" xfId="0" applyNumberFormat="1" applyFont="1"/>
    <xf numFmtId="0" fontId="3" fillId="0" borderId="1" xfId="0" applyFont="1" applyBorder="1"/>
    <xf numFmtId="10" fontId="8" fillId="3" borderId="4" xfId="0" applyNumberFormat="1" applyFont="1" applyFill="1" applyBorder="1" applyAlignment="1">
      <alignment horizontal="center"/>
    </xf>
    <xf numFmtId="167" fontId="2" fillId="0" borderId="3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166" fontId="3" fillId="0" borderId="1" xfId="0" applyNumberFormat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5" fontId="3" fillId="2" borderId="1" xfId="0" applyNumberFormat="1" applyFont="1" applyFill="1" applyBorder="1"/>
    <xf numFmtId="165" fontId="1" fillId="2" borderId="1" xfId="0" applyNumberFormat="1" applyFont="1" applyFill="1" applyBorder="1"/>
    <xf numFmtId="165" fontId="3" fillId="0" borderId="0" xfId="0" applyNumberFormat="1" applyFont="1"/>
    <xf numFmtId="166" fontId="4" fillId="2" borderId="1" xfId="0" applyNumberFormat="1" applyFont="1" applyFill="1" applyBorder="1"/>
    <xf numFmtId="166" fontId="3" fillId="2" borderId="1" xfId="0" applyNumberFormat="1" applyFont="1" applyFill="1" applyBorder="1"/>
    <xf numFmtId="0" fontId="3" fillId="2" borderId="1" xfId="0" applyFont="1" applyFill="1" applyBorder="1"/>
    <xf numFmtId="0" fontId="3" fillId="0" borderId="1" xfId="0" applyFont="1" applyBorder="1" applyAlignment="1">
      <alignment horizontal="left" vertical="center"/>
    </xf>
    <xf numFmtId="169" fontId="3" fillId="4" borderId="1" xfId="0" applyNumberFormat="1" applyFont="1" applyFill="1" applyBorder="1"/>
    <xf numFmtId="169" fontId="3" fillId="4" borderId="0" xfId="0" applyNumberFormat="1" applyFont="1" applyFill="1"/>
    <xf numFmtId="169" fontId="3" fillId="4" borderId="1" xfId="0" applyNumberFormat="1" applyFont="1" applyFill="1" applyBorder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left"/>
    </xf>
    <xf numFmtId="169" fontId="4" fillId="4" borderId="1" xfId="0" applyNumberFormat="1" applyFont="1" applyFill="1" applyBorder="1"/>
    <xf numFmtId="0" fontId="4" fillId="0" borderId="1" xfId="0" applyFont="1" applyBorder="1" applyAlignment="1">
      <alignment horizontal="left" wrapText="1"/>
    </xf>
    <xf numFmtId="165" fontId="4" fillId="2" borderId="1" xfId="0" applyNumberFormat="1" applyFont="1" applyFill="1" applyBorder="1"/>
    <xf numFmtId="166" fontId="4" fillId="0" borderId="1" xfId="0" applyNumberFormat="1" applyFont="1" applyBorder="1" applyAlignment="1">
      <alignment horizontal="center"/>
    </xf>
    <xf numFmtId="10" fontId="12" fillId="3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49" fontId="12" fillId="5" borderId="1" xfId="0" applyNumberFormat="1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1" fontId="12" fillId="5" borderId="1" xfId="0" applyNumberFormat="1" applyFont="1" applyFill="1" applyBorder="1" applyAlignment="1">
      <alignment horizontal="center"/>
    </xf>
    <xf numFmtId="10" fontId="12" fillId="0" borderId="1" xfId="0" applyNumberFormat="1" applyFont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1" fontId="1" fillId="0" borderId="1" xfId="0" applyNumberFormat="1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1" fontId="4" fillId="0" borderId="4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6" fontId="1" fillId="0" borderId="1" xfId="0" applyNumberFormat="1" applyFont="1" applyBorder="1" applyAlignment="1">
      <alignment horizontal="center" wrapText="1"/>
    </xf>
    <xf numFmtId="10" fontId="1" fillId="0" borderId="1" xfId="0" applyNumberFormat="1" applyFont="1" applyBorder="1" applyAlignment="1">
      <alignment horizontal="center" wrapText="1"/>
    </xf>
    <xf numFmtId="1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168" fontId="1" fillId="2" borderId="1" xfId="0" applyNumberFormat="1" applyFont="1" applyFill="1" applyBorder="1" applyAlignment="1">
      <alignment horizontal="center" wrapText="1"/>
    </xf>
    <xf numFmtId="168" fontId="4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wrapText="1"/>
    </xf>
    <xf numFmtId="169" fontId="1" fillId="4" borderId="1" xfId="0" applyNumberFormat="1" applyFont="1" applyFill="1" applyBorder="1" applyAlignment="1">
      <alignment wrapText="1"/>
    </xf>
    <xf numFmtId="49" fontId="4" fillId="0" borderId="1" xfId="0" applyNumberFormat="1" applyFont="1" applyBorder="1" applyAlignment="1">
      <alignment horizontal="center"/>
    </xf>
    <xf numFmtId="169" fontId="1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9" fontId="4" fillId="0" borderId="1" xfId="0" applyNumberFormat="1" applyFont="1" applyBorder="1"/>
    <xf numFmtId="2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68" fontId="4" fillId="0" borderId="0" xfId="0" applyNumberFormat="1" applyFont="1" applyAlignment="1">
      <alignment horizontal="center"/>
    </xf>
    <xf numFmtId="0" fontId="1" fillId="0" borderId="0" xfId="0" applyFont="1"/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  <xf numFmtId="49" fontId="14" fillId="0" borderId="1" xfId="0" applyNumberFormat="1" applyFont="1" applyBorder="1"/>
    <xf numFmtId="1" fontId="4" fillId="0" borderId="1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/>
    </xf>
    <xf numFmtId="169" fontId="8" fillId="0" borderId="0" xfId="0" applyNumberFormat="1" applyFont="1"/>
    <xf numFmtId="169" fontId="1" fillId="6" borderId="1" xfId="0" applyNumberFormat="1" applyFont="1" applyFill="1" applyBorder="1" applyAlignment="1">
      <alignment wrapText="1"/>
    </xf>
    <xf numFmtId="169" fontId="4" fillId="6" borderId="1" xfId="0" applyNumberFormat="1" applyFont="1" applyFill="1" applyBorder="1"/>
    <xf numFmtId="169" fontId="4" fillId="6" borderId="1" xfId="0" applyNumberFormat="1" applyFont="1" applyFill="1" applyBorder="1" applyAlignment="1">
      <alignment vertical="center"/>
    </xf>
    <xf numFmtId="169" fontId="4" fillId="6" borderId="4" xfId="0" applyNumberFormat="1" applyFont="1" applyFill="1" applyBorder="1"/>
    <xf numFmtId="167" fontId="1" fillId="6" borderId="1" xfId="0" applyNumberFormat="1" applyFont="1" applyFill="1" applyBorder="1" applyAlignment="1">
      <alignment horizontal="center" wrapText="1"/>
    </xf>
    <xf numFmtId="167" fontId="3" fillId="6" borderId="1" xfId="0" applyNumberFormat="1" applyFont="1" applyFill="1" applyBorder="1" applyAlignment="1">
      <alignment horizontal="left"/>
    </xf>
    <xf numFmtId="167" fontId="5" fillId="6" borderId="1" xfId="0" applyNumberFormat="1" applyFont="1" applyFill="1" applyBorder="1" applyAlignment="1">
      <alignment horizontal="left"/>
    </xf>
    <xf numFmtId="167" fontId="4" fillId="6" borderId="1" xfId="0" applyNumberFormat="1" applyFont="1" applyFill="1" applyBorder="1" applyAlignment="1">
      <alignment horizontal="left"/>
    </xf>
    <xf numFmtId="167" fontId="5" fillId="6" borderId="2" xfId="0" applyNumberFormat="1" applyFont="1" applyFill="1" applyBorder="1" applyAlignment="1">
      <alignment horizontal="left"/>
    </xf>
    <xf numFmtId="167" fontId="5" fillId="6" borderId="4" xfId="0" applyNumberFormat="1" applyFont="1" applyFill="1" applyBorder="1" applyAlignment="1">
      <alignment horizontal="left"/>
    </xf>
    <xf numFmtId="167" fontId="5" fillId="6" borderId="3" xfId="0" applyNumberFormat="1" applyFont="1" applyFill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9" fontId="1" fillId="7" borderId="1" xfId="0" applyNumberFormat="1" applyFont="1" applyFill="1" applyBorder="1" applyAlignment="1">
      <alignment wrapText="1"/>
    </xf>
    <xf numFmtId="169" fontId="12" fillId="7" borderId="1" xfId="0" applyNumberFormat="1" applyFont="1" applyFill="1" applyBorder="1"/>
    <xf numFmtId="164" fontId="1" fillId="0" borderId="1" xfId="0" applyNumberFormat="1" applyFont="1" applyBorder="1" applyAlignment="1">
      <alignment horizontal="center"/>
    </xf>
    <xf numFmtId="10" fontId="1" fillId="3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4" fillId="8" borderId="0" xfId="0" applyFont="1" applyFill="1" applyAlignment="1">
      <alignment horizontal="left"/>
    </xf>
    <xf numFmtId="0" fontId="14" fillId="8" borderId="0" xfId="0" applyFont="1" applyFill="1" applyAlignment="1">
      <alignment horizontal="center" vertical="center"/>
    </xf>
    <xf numFmtId="1" fontId="14" fillId="8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0" fontId="14" fillId="8" borderId="0" xfId="0" applyFont="1" applyFill="1" applyAlignment="1">
      <alignment horizontal="center"/>
    </xf>
    <xf numFmtId="1" fontId="1" fillId="8" borderId="0" xfId="0" applyNumberFormat="1" applyFont="1" applyFill="1" applyAlignment="1">
      <alignment horizontal="center"/>
    </xf>
    <xf numFmtId="1" fontId="14" fillId="8" borderId="0" xfId="0" applyNumberFormat="1" applyFont="1" applyFill="1" applyAlignment="1">
      <alignment horizontal="center"/>
    </xf>
    <xf numFmtId="168" fontId="14" fillId="8" borderId="0" xfId="0" applyNumberFormat="1" applyFont="1" applyFill="1" applyAlignment="1">
      <alignment horizontal="center"/>
    </xf>
    <xf numFmtId="169" fontId="14" fillId="8" borderId="0" xfId="0" applyNumberFormat="1" applyFont="1" applyFill="1"/>
    <xf numFmtId="165" fontId="14" fillId="8" borderId="0" xfId="0" applyNumberFormat="1" applyFont="1" applyFill="1"/>
    <xf numFmtId="0" fontId="14" fillId="8" borderId="0" xfId="0" applyFont="1" applyFill="1"/>
    <xf numFmtId="168" fontId="3" fillId="9" borderId="1" xfId="0" applyNumberFormat="1" applyFont="1" applyFill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center"/>
    </xf>
    <xf numFmtId="165" fontId="3" fillId="9" borderId="1" xfId="0" applyNumberFormat="1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right"/>
    </xf>
    <xf numFmtId="10" fontId="8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49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0" fontId="1" fillId="8" borderId="2" xfId="0" applyNumberFormat="1" applyFont="1" applyFill="1" applyBorder="1" applyAlignment="1">
      <alignment horizontal="center"/>
    </xf>
    <xf numFmtId="167" fontId="1" fillId="8" borderId="2" xfId="0" applyNumberFormat="1" applyFont="1" applyFill="1" applyBorder="1" applyAlignment="1">
      <alignment horizontal="left"/>
    </xf>
    <xf numFmtId="1" fontId="3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9" fontId="3" fillId="0" borderId="1" xfId="0" applyNumberFormat="1" applyFont="1" applyBorder="1"/>
    <xf numFmtId="169" fontId="8" fillId="0" borderId="1" xfId="0" applyNumberFormat="1" applyFont="1" applyBorder="1"/>
    <xf numFmtId="0" fontId="4" fillId="4" borderId="1" xfId="0" applyFont="1" applyFill="1" applyBorder="1"/>
    <xf numFmtId="0" fontId="3" fillId="4" borderId="1" xfId="0" applyFont="1" applyFill="1" applyBorder="1"/>
    <xf numFmtId="0" fontId="3" fillId="4" borderId="0" xfId="0" applyFont="1" applyFill="1"/>
    <xf numFmtId="0" fontId="12" fillId="8" borderId="1" xfId="0" applyFont="1" applyFill="1" applyBorder="1" applyAlignment="1">
      <alignment horizontal="center"/>
    </xf>
    <xf numFmtId="1" fontId="4" fillId="8" borderId="1" xfId="0" applyNumberFormat="1" applyFont="1" applyFill="1" applyBorder="1" applyAlignment="1">
      <alignment horizontal="center"/>
    </xf>
    <xf numFmtId="10" fontId="12" fillId="8" borderId="1" xfId="0" applyNumberFormat="1" applyFont="1" applyFill="1" applyBorder="1" applyAlignment="1">
      <alignment horizontal="center"/>
    </xf>
    <xf numFmtId="169" fontId="4" fillId="8" borderId="1" xfId="0" applyNumberFormat="1" applyFont="1" applyFill="1" applyBorder="1"/>
    <xf numFmtId="169" fontId="12" fillId="8" borderId="1" xfId="0" applyNumberFormat="1" applyFont="1" applyFill="1" applyBorder="1"/>
    <xf numFmtId="166" fontId="3" fillId="8" borderId="2" xfId="0" applyNumberFormat="1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165" fontId="3" fillId="9" borderId="1" xfId="0" applyNumberFormat="1" applyFont="1" applyFill="1" applyBorder="1"/>
    <xf numFmtId="168" fontId="4" fillId="9" borderId="1" xfId="0" applyNumberFormat="1" applyFont="1" applyFill="1" applyBorder="1" applyAlignment="1">
      <alignment horizontal="center"/>
    </xf>
    <xf numFmtId="0" fontId="3" fillId="9" borderId="1" xfId="0" applyFont="1" applyFill="1" applyBorder="1"/>
    <xf numFmtId="49" fontId="3" fillId="0" borderId="1" xfId="0" applyNumberFormat="1" applyFont="1" applyBorder="1" applyAlignment="1">
      <alignment horizontal="center"/>
    </xf>
    <xf numFmtId="0" fontId="3" fillId="10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center" vertical="center"/>
    </xf>
    <xf numFmtId="1" fontId="4" fillId="8" borderId="5" xfId="0" applyNumberFormat="1" applyFont="1" applyFill="1" applyBorder="1" applyAlignment="1">
      <alignment horizontal="center" vertical="center"/>
    </xf>
    <xf numFmtId="1" fontId="4" fillId="8" borderId="9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168" fontId="4" fillId="8" borderId="1" xfId="0" applyNumberFormat="1" applyFont="1" applyFill="1" applyBorder="1" applyAlignment="1">
      <alignment horizontal="center"/>
    </xf>
    <xf numFmtId="165" fontId="4" fillId="8" borderId="1" xfId="0" applyNumberFormat="1" applyFont="1" applyFill="1" applyBorder="1"/>
    <xf numFmtId="166" fontId="4" fillId="8" borderId="1" xfId="0" applyNumberFormat="1" applyFont="1" applyFill="1" applyBorder="1" applyAlignment="1">
      <alignment horizontal="center"/>
    </xf>
    <xf numFmtId="167" fontId="4" fillId="8" borderId="1" xfId="0" applyNumberFormat="1" applyFont="1" applyFill="1" applyBorder="1" applyAlignment="1">
      <alignment horizontal="left"/>
    </xf>
    <xf numFmtId="0" fontId="4" fillId="8" borderId="0" xfId="0" applyFont="1" applyFill="1"/>
    <xf numFmtId="167" fontId="4" fillId="6" borderId="2" xfId="0" applyNumberFormat="1" applyFont="1" applyFill="1" applyBorder="1" applyAlignment="1">
      <alignment horizontal="left" vertical="center"/>
    </xf>
    <xf numFmtId="167" fontId="4" fillId="6" borderId="4" xfId="0" applyNumberFormat="1" applyFont="1" applyFill="1" applyBorder="1" applyAlignment="1">
      <alignment horizontal="left" vertical="center"/>
    </xf>
    <xf numFmtId="167" fontId="1" fillId="6" borderId="2" xfId="0" applyNumberFormat="1" applyFont="1" applyFill="1" applyBorder="1" applyAlignment="1">
      <alignment horizontal="left" vertical="center" wrapText="1"/>
    </xf>
    <xf numFmtId="167" fontId="1" fillId="6" borderId="3" xfId="0" applyNumberFormat="1" applyFont="1" applyFill="1" applyBorder="1" applyAlignment="1">
      <alignment horizontal="left" vertical="center" wrapText="1"/>
    </xf>
    <xf numFmtId="167" fontId="1" fillId="6" borderId="4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left" vertical="center" wrapText="1"/>
    </xf>
    <xf numFmtId="2" fontId="2" fillId="0" borderId="3" xfId="0" applyNumberFormat="1" applyFont="1" applyBorder="1" applyAlignment="1">
      <alignment horizontal="left" vertical="center" wrapText="1"/>
    </xf>
    <xf numFmtId="2" fontId="2" fillId="0" borderId="4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9" fontId="4" fillId="6" borderId="2" xfId="0" applyNumberFormat="1" applyFont="1" applyFill="1" applyBorder="1" applyAlignment="1">
      <alignment horizontal="right" vertical="center"/>
    </xf>
    <xf numFmtId="169" fontId="4" fillId="6" borderId="4" xfId="0" applyNumberFormat="1" applyFont="1" applyFill="1" applyBorder="1" applyAlignment="1">
      <alignment horizontal="right" vertical="center"/>
    </xf>
  </cellXfs>
  <cellStyles count="4">
    <cellStyle name="Κανονικό" xfId="0" builtinId="0"/>
    <cellStyle name="Κανονικό 2" xfId="2" xr:uid="{EF79DAB4-4597-41F9-9154-6B87A761FE05}"/>
    <cellStyle name="Κανονικό 3" xfId="1" xr:uid="{AE51B268-9415-42BF-97CB-634B540FF87A}"/>
    <cellStyle name="Κανονικό 3 2" xfId="3" xr:uid="{E0767FFA-DFEA-4A3D-B583-6E96915742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7"/>
  <sheetViews>
    <sheetView tabSelected="1" zoomScale="130" zoomScaleNormal="130" workbookViewId="0">
      <pane ySplit="1" topLeftCell="A70" activePane="bottomLeft" state="frozen"/>
      <selection activeCell="B1" sqref="B1"/>
      <selection pane="bottomLeft" activeCell="Q83" sqref="Q83"/>
    </sheetView>
  </sheetViews>
  <sheetFormatPr defaultRowHeight="12" x14ac:dyDescent="0.2"/>
  <cols>
    <col min="1" max="1" width="11.85546875" style="12" customWidth="1"/>
    <col min="2" max="2" width="39.140625" style="12" customWidth="1"/>
    <col min="3" max="3" width="24.5703125" style="14" customWidth="1"/>
    <col min="4" max="4" width="10.7109375" style="82" hidden="1" customWidth="1"/>
    <col min="5" max="5" width="8.42578125" style="42" hidden="1" customWidth="1"/>
    <col min="6" max="6" width="11.7109375" style="82" hidden="1" customWidth="1"/>
    <col min="7" max="7" width="11.85546875" style="14" bestFit="1" customWidth="1"/>
    <col min="8" max="8" width="14.140625" style="13" customWidth="1"/>
    <col min="9" max="9" width="11.5703125" style="13" customWidth="1"/>
    <col min="10" max="10" width="14" style="42" hidden="1" customWidth="1"/>
    <col min="11" max="11" width="10.5703125" style="49" hidden="1" customWidth="1"/>
    <col min="12" max="12" width="8.7109375" style="51" hidden="1" customWidth="1"/>
    <col min="13" max="13" width="14.42578125" style="51" hidden="1" customWidth="1"/>
    <col min="14" max="14" width="10.28515625" style="51" hidden="1" customWidth="1"/>
    <col min="15" max="15" width="9.7109375" style="11" hidden="1" customWidth="1"/>
    <col min="16" max="16" width="8.42578125" style="11" hidden="1" customWidth="1"/>
    <col min="17" max="17" width="12.140625" style="15" customWidth="1"/>
    <col min="18" max="18" width="8.5703125" style="16" hidden="1" customWidth="1"/>
    <col min="19" max="19" width="16.42578125" style="16" hidden="1" customWidth="1"/>
    <col min="20" max="20" width="7.5703125" style="89" hidden="1" customWidth="1"/>
    <col min="21" max="21" width="16.5703125" style="16" hidden="1" customWidth="1"/>
    <col min="22" max="22" width="1.5703125" style="145" customWidth="1"/>
    <col min="23" max="23" width="10.140625" style="12" bestFit="1" customWidth="1"/>
    <col min="24" max="24" width="40.28515625" style="6" customWidth="1"/>
    <col min="25" max="25" width="27.28515625" style="12" bestFit="1" customWidth="1"/>
    <col min="26" max="26" width="8.7109375" style="13" bestFit="1" customWidth="1"/>
    <col min="27" max="27" width="9.7109375" style="11" customWidth="1"/>
    <col min="28" max="28" width="12.140625" style="77" bestFit="1" customWidth="1"/>
    <col min="29" max="29" width="11.28515625" style="12" bestFit="1" customWidth="1"/>
    <col min="30" max="30" width="18.140625" style="12" bestFit="1" customWidth="1"/>
    <col min="31" max="16384" width="9.140625" style="12"/>
  </cols>
  <sheetData>
    <row r="1" spans="1:30" s="76" customFormat="1" ht="72" customHeight="1" x14ac:dyDescent="0.2">
      <c r="A1" s="53" t="s">
        <v>0</v>
      </c>
      <c r="B1" s="53" t="s">
        <v>1</v>
      </c>
      <c r="C1" s="53" t="s">
        <v>2</v>
      </c>
      <c r="D1" s="48" t="s">
        <v>165</v>
      </c>
      <c r="E1" s="47" t="s">
        <v>161</v>
      </c>
      <c r="F1" s="48" t="s">
        <v>166</v>
      </c>
      <c r="G1" s="54" t="s">
        <v>162</v>
      </c>
      <c r="H1" s="54" t="s">
        <v>163</v>
      </c>
      <c r="I1" s="54" t="s">
        <v>244</v>
      </c>
      <c r="J1" s="47" t="s">
        <v>164</v>
      </c>
      <c r="K1" s="48" t="s">
        <v>167</v>
      </c>
      <c r="L1" s="48" t="s">
        <v>168</v>
      </c>
      <c r="M1" s="48" t="s">
        <v>169</v>
      </c>
      <c r="N1" s="48" t="s">
        <v>243</v>
      </c>
      <c r="O1" s="56" t="s">
        <v>177</v>
      </c>
      <c r="P1" s="56" t="s">
        <v>178</v>
      </c>
      <c r="Q1" s="59" t="s">
        <v>160</v>
      </c>
      <c r="R1" s="64" t="s">
        <v>174</v>
      </c>
      <c r="S1" s="64" t="s">
        <v>175</v>
      </c>
      <c r="T1" s="103" t="s">
        <v>170</v>
      </c>
      <c r="U1" s="90" t="s">
        <v>172</v>
      </c>
      <c r="V1" s="62"/>
      <c r="W1" s="53" t="s">
        <v>0</v>
      </c>
      <c r="X1" s="20" t="s">
        <v>1</v>
      </c>
      <c r="Y1" s="53" t="s">
        <v>2</v>
      </c>
      <c r="Z1" s="61" t="s">
        <v>3</v>
      </c>
      <c r="AA1" s="55" t="s">
        <v>4</v>
      </c>
      <c r="AB1" s="56" t="s">
        <v>140</v>
      </c>
      <c r="AC1" s="94" t="s">
        <v>173</v>
      </c>
      <c r="AD1" s="53" t="s">
        <v>5</v>
      </c>
    </row>
    <row r="2" spans="1:30" x14ac:dyDescent="0.2">
      <c r="A2" s="35" t="s">
        <v>6</v>
      </c>
      <c r="B2" s="35" t="s">
        <v>7</v>
      </c>
      <c r="C2" s="66" t="s">
        <v>8</v>
      </c>
      <c r="D2" s="83">
        <v>1404</v>
      </c>
      <c r="E2" s="44">
        <v>23200</v>
      </c>
      <c r="F2" s="87">
        <v>1700</v>
      </c>
      <c r="G2" s="66">
        <v>9280</v>
      </c>
      <c r="H2" s="65">
        <v>10800</v>
      </c>
      <c r="I2" s="65"/>
      <c r="J2" s="44">
        <f>H2+G2</f>
        <v>20080</v>
      </c>
      <c r="K2" s="57">
        <v>2810</v>
      </c>
      <c r="L2" s="57">
        <f>D2+E2-F2</f>
        <v>22904</v>
      </c>
      <c r="M2" s="57">
        <f>F2+J2-K2</f>
        <v>18970</v>
      </c>
      <c r="N2" s="57"/>
      <c r="O2" s="46">
        <f>(M2-L2)/L2</f>
        <v>-0.17176039119804401</v>
      </c>
      <c r="P2" s="46">
        <f>((H2+G2)-E2)/E2</f>
        <v>-0.13448275862068965</v>
      </c>
      <c r="Q2" s="60">
        <v>1.0365</v>
      </c>
      <c r="R2" s="67">
        <f>M2*Q2</f>
        <v>19662.404999999999</v>
      </c>
      <c r="S2" s="67">
        <f>M2*Z2</f>
        <v>14986.300000000001</v>
      </c>
      <c r="T2" s="104">
        <f>R2-S2</f>
        <v>4676.1049999999977</v>
      </c>
      <c r="U2" s="91">
        <f>H2*Q2</f>
        <v>11194.199999999999</v>
      </c>
      <c r="V2" s="31"/>
      <c r="W2" s="1">
        <v>11000032</v>
      </c>
      <c r="X2" s="1" t="s">
        <v>9</v>
      </c>
      <c r="Y2" s="1" t="s">
        <v>10</v>
      </c>
      <c r="Z2" s="24">
        <v>0.79</v>
      </c>
      <c r="AA2" s="22">
        <f>Q2-Z2</f>
        <v>0.24649999999999994</v>
      </c>
      <c r="AB2" s="9">
        <f>AA2/Q2</f>
        <v>0.23781958514230578</v>
      </c>
      <c r="AC2" s="95">
        <f>(H2+I2)*AA2</f>
        <v>2662.1999999999994</v>
      </c>
      <c r="AD2" s="2"/>
    </row>
    <row r="3" spans="1:30" ht="30" customHeight="1" x14ac:dyDescent="0.2">
      <c r="A3" s="35" t="s">
        <v>11</v>
      </c>
      <c r="B3" s="35" t="s">
        <v>12</v>
      </c>
      <c r="C3" s="65" t="s">
        <v>13</v>
      </c>
      <c r="D3" s="102">
        <v>0</v>
      </c>
      <c r="E3" s="44">
        <v>1329</v>
      </c>
      <c r="F3" s="101">
        <v>94</v>
      </c>
      <c r="G3" s="65">
        <v>384</v>
      </c>
      <c r="H3" s="65">
        <v>392</v>
      </c>
      <c r="I3" s="65">
        <v>0</v>
      </c>
      <c r="J3" s="44">
        <f t="shared" ref="J3:J63" si="0">H3+G3</f>
        <v>776</v>
      </c>
      <c r="K3" s="57">
        <v>0</v>
      </c>
      <c r="L3" s="57">
        <f>D3+E3-F3</f>
        <v>1235</v>
      </c>
      <c r="M3" s="57">
        <f>F3+J3-K3</f>
        <v>870</v>
      </c>
      <c r="N3" s="57"/>
      <c r="O3" s="46">
        <f t="shared" ref="O3:O66" si="1">(M3-L3)/L3</f>
        <v>-0.29554655870445345</v>
      </c>
      <c r="P3" s="46">
        <f>((H3+G3)-E3)/E3</f>
        <v>-0.41610233258088791</v>
      </c>
      <c r="Q3" s="60">
        <v>11.85</v>
      </c>
      <c r="R3" s="67">
        <f t="shared" ref="R3:R66" si="2">M3*Q3</f>
        <v>10309.5</v>
      </c>
      <c r="S3" s="67">
        <f t="shared" ref="S3:S66" si="3">M3*Z3</f>
        <v>5220</v>
      </c>
      <c r="T3" s="104">
        <f t="shared" ref="T3:T66" si="4">R3-S3</f>
        <v>5089.5</v>
      </c>
      <c r="U3" s="91">
        <f>H3*Q3</f>
        <v>4645.2</v>
      </c>
      <c r="V3" s="31"/>
      <c r="W3" s="1" t="s">
        <v>11</v>
      </c>
      <c r="X3" s="129" t="s">
        <v>145</v>
      </c>
      <c r="Y3" s="1" t="s">
        <v>14</v>
      </c>
      <c r="Z3" s="24">
        <v>6</v>
      </c>
      <c r="AA3" s="22">
        <f>Q3-Z3</f>
        <v>5.85</v>
      </c>
      <c r="AB3" s="9">
        <f>AA3/Q3</f>
        <v>0.49367088607594933</v>
      </c>
      <c r="AC3" s="95">
        <f t="shared" ref="AC3:AC37" si="5">(H3+I3)*AA3</f>
        <v>2293.1999999999998</v>
      </c>
      <c r="AD3" s="2"/>
    </row>
    <row r="4" spans="1:30" x14ac:dyDescent="0.2">
      <c r="A4" s="35">
        <v>11100035</v>
      </c>
      <c r="B4" s="35" t="s">
        <v>142</v>
      </c>
      <c r="C4" s="65" t="s">
        <v>143</v>
      </c>
      <c r="D4" s="83">
        <v>462</v>
      </c>
      <c r="E4" s="44">
        <v>3200</v>
      </c>
      <c r="F4" s="87">
        <v>700</v>
      </c>
      <c r="G4" s="65">
        <v>2950</v>
      </c>
      <c r="H4" s="65">
        <v>1030</v>
      </c>
      <c r="I4" s="65"/>
      <c r="J4" s="44">
        <f t="shared" si="0"/>
        <v>3980</v>
      </c>
      <c r="K4" s="57">
        <v>800</v>
      </c>
      <c r="L4" s="57">
        <f>D4+E4-F4</f>
        <v>2962</v>
      </c>
      <c r="M4" s="57">
        <f>F4+J4-K4</f>
        <v>3880</v>
      </c>
      <c r="N4" s="57"/>
      <c r="O4" s="46">
        <f t="shared" si="1"/>
        <v>0.30992572586090478</v>
      </c>
      <c r="P4" s="46">
        <f>((H4+G4)-E4)/E4</f>
        <v>0.24374999999999999</v>
      </c>
      <c r="Q4" s="60">
        <v>2.2599999999999998</v>
      </c>
      <c r="R4" s="67">
        <f t="shared" si="2"/>
        <v>8768.7999999999993</v>
      </c>
      <c r="S4" s="67">
        <f t="shared" si="3"/>
        <v>6208</v>
      </c>
      <c r="T4" s="104">
        <f t="shared" si="4"/>
        <v>2560.7999999999993</v>
      </c>
      <c r="U4" s="91">
        <f>H4*Q4</f>
        <v>2327.7999999999997</v>
      </c>
      <c r="V4" s="31"/>
      <c r="W4" s="21" t="s">
        <v>171</v>
      </c>
      <c r="X4" s="130" t="s">
        <v>144</v>
      </c>
      <c r="Y4" s="1" t="s">
        <v>10</v>
      </c>
      <c r="Z4" s="24">
        <v>1.6</v>
      </c>
      <c r="AA4" s="22">
        <f>Q4-Z4</f>
        <v>0.6599999999999997</v>
      </c>
      <c r="AB4" s="9">
        <f>AA4/Q4</f>
        <v>0.29203539823008839</v>
      </c>
      <c r="AC4" s="95">
        <f t="shared" si="5"/>
        <v>679.79999999999973</v>
      </c>
      <c r="AD4" s="2"/>
    </row>
    <row r="5" spans="1:30" x14ac:dyDescent="0.2">
      <c r="A5" s="3"/>
      <c r="B5" s="79"/>
      <c r="C5" s="63"/>
      <c r="D5" s="83"/>
      <c r="E5" s="43"/>
      <c r="F5" s="87"/>
      <c r="G5" s="63"/>
      <c r="H5" s="65"/>
      <c r="I5" s="65"/>
      <c r="J5" s="44"/>
      <c r="K5" s="57"/>
      <c r="L5" s="57"/>
      <c r="M5" s="57"/>
      <c r="N5" s="57"/>
      <c r="O5" s="46"/>
      <c r="P5" s="46"/>
      <c r="Q5" s="60"/>
      <c r="R5" s="67"/>
      <c r="S5" s="67"/>
      <c r="T5" s="104"/>
      <c r="U5" s="91"/>
      <c r="V5" s="31"/>
      <c r="W5" s="1"/>
      <c r="X5" s="130"/>
      <c r="Y5" s="1"/>
      <c r="Z5" s="24"/>
      <c r="AA5" s="22"/>
      <c r="AB5" s="9"/>
      <c r="AC5" s="95">
        <f t="shared" si="5"/>
        <v>0</v>
      </c>
      <c r="AD5" s="4">
        <f>SUM(AC2:AC4)</f>
        <v>5635.1999999999989</v>
      </c>
    </row>
    <row r="6" spans="1:30" x14ac:dyDescent="0.2">
      <c r="A6" s="3" t="s">
        <v>16</v>
      </c>
      <c r="B6" s="3" t="s">
        <v>157</v>
      </c>
      <c r="C6" s="63" t="s">
        <v>153</v>
      </c>
      <c r="D6" s="83">
        <v>0</v>
      </c>
      <c r="E6" s="44">
        <v>502</v>
      </c>
      <c r="F6" s="87">
        <v>61</v>
      </c>
      <c r="G6" s="65">
        <v>348</v>
      </c>
      <c r="H6" s="65">
        <v>0</v>
      </c>
      <c r="I6" s="65">
        <v>0</v>
      </c>
      <c r="J6" s="44">
        <v>348</v>
      </c>
      <c r="K6" s="57">
        <v>0</v>
      </c>
      <c r="L6" s="57">
        <f>D6+E6-F6</f>
        <v>441</v>
      </c>
      <c r="M6" s="57">
        <f>F6+J6-K6</f>
        <v>409</v>
      </c>
      <c r="N6" s="57"/>
      <c r="O6" s="46">
        <f t="shared" si="1"/>
        <v>-7.2562358276643993E-2</v>
      </c>
      <c r="P6" s="46">
        <f>((H6+G6)-E6)/E6</f>
        <v>-0.30677290836653387</v>
      </c>
      <c r="Q6" s="60">
        <v>11.1</v>
      </c>
      <c r="R6" s="67">
        <f>500*Q6</f>
        <v>5550</v>
      </c>
      <c r="S6" s="67">
        <f>M6*0</f>
        <v>0</v>
      </c>
      <c r="T6" s="104">
        <f t="shared" si="4"/>
        <v>5550</v>
      </c>
      <c r="U6" s="91">
        <f>151*Q6</f>
        <v>1676.1</v>
      </c>
      <c r="V6" s="31"/>
      <c r="W6" s="1"/>
      <c r="X6" s="20" t="s">
        <v>17</v>
      </c>
      <c r="Y6" s="1"/>
      <c r="Z6" s="24">
        <v>0</v>
      </c>
      <c r="AA6" s="22">
        <f>Q6-Z6</f>
        <v>11.1</v>
      </c>
      <c r="AB6" s="9">
        <f>AA6/Q6</f>
        <v>1</v>
      </c>
      <c r="AC6" s="95">
        <f>750*Q6</f>
        <v>8325</v>
      </c>
      <c r="AD6" s="4"/>
    </row>
    <row r="7" spans="1:30" x14ac:dyDescent="0.2">
      <c r="A7" s="3"/>
      <c r="B7" s="3"/>
      <c r="C7" s="58"/>
      <c r="D7" s="83"/>
      <c r="E7" s="44"/>
      <c r="F7" s="87"/>
      <c r="G7" s="58"/>
      <c r="H7" s="65"/>
      <c r="I7" s="65"/>
      <c r="J7" s="44"/>
      <c r="K7" s="57"/>
      <c r="L7" s="57"/>
      <c r="M7" s="57"/>
      <c r="N7" s="57"/>
      <c r="O7" s="46"/>
      <c r="P7" s="46"/>
      <c r="Q7" s="60"/>
      <c r="R7" s="67"/>
      <c r="S7" s="67"/>
      <c r="T7" s="104"/>
      <c r="U7" s="91"/>
      <c r="V7" s="31"/>
      <c r="W7" s="1"/>
      <c r="X7" s="1"/>
      <c r="Y7" s="1"/>
      <c r="Z7" s="24"/>
      <c r="AA7" s="22"/>
      <c r="AB7" s="9"/>
      <c r="AC7" s="95">
        <f t="shared" si="5"/>
        <v>0</v>
      </c>
      <c r="AD7" s="4">
        <f>SUM(AC6)</f>
        <v>8325</v>
      </c>
    </row>
    <row r="8" spans="1:30" x14ac:dyDescent="0.2">
      <c r="A8" s="35">
        <v>11111008</v>
      </c>
      <c r="B8" s="35" t="s">
        <v>18</v>
      </c>
      <c r="C8" s="66" t="s">
        <v>8</v>
      </c>
      <c r="D8" s="83">
        <v>1350</v>
      </c>
      <c r="E8" s="44">
        <v>3800</v>
      </c>
      <c r="F8" s="87">
        <v>1050</v>
      </c>
      <c r="G8" s="66">
        <v>1400</v>
      </c>
      <c r="H8" s="65">
        <v>1200</v>
      </c>
      <c r="I8" s="65"/>
      <c r="J8" s="44">
        <f t="shared" si="0"/>
        <v>2600</v>
      </c>
      <c r="K8" s="57">
        <v>850</v>
      </c>
      <c r="L8" s="57">
        <f>D8+E8-F8</f>
        <v>4100</v>
      </c>
      <c r="M8" s="57">
        <f>F8+J8-K8</f>
        <v>2800</v>
      </c>
      <c r="N8" s="57"/>
      <c r="O8" s="46">
        <f t="shared" si="1"/>
        <v>-0.31707317073170732</v>
      </c>
      <c r="P8" s="46">
        <f>((H8+G8)-E8)/E8</f>
        <v>-0.31578947368421051</v>
      </c>
      <c r="Q8" s="60">
        <v>0.83720000000000006</v>
      </c>
      <c r="R8" s="67">
        <f t="shared" si="2"/>
        <v>2344.1600000000003</v>
      </c>
      <c r="S8" s="67">
        <f t="shared" si="3"/>
        <v>1764</v>
      </c>
      <c r="T8" s="104">
        <f t="shared" si="4"/>
        <v>580.16000000000031</v>
      </c>
      <c r="U8" s="91">
        <f>H8*Q8</f>
        <v>1004.6400000000001</v>
      </c>
      <c r="V8" s="31"/>
      <c r="W8" s="1" t="s">
        <v>156</v>
      </c>
      <c r="X8" s="1" t="s">
        <v>141</v>
      </c>
      <c r="Y8" s="1" t="s">
        <v>10</v>
      </c>
      <c r="Z8" s="24">
        <v>0.63</v>
      </c>
      <c r="AA8" s="22">
        <f>Q8-Z8</f>
        <v>0.20720000000000005</v>
      </c>
      <c r="AB8" s="9">
        <f>AA8/Q8</f>
        <v>0.24749163879598668</v>
      </c>
      <c r="AC8" s="95">
        <f t="shared" si="5"/>
        <v>248.64000000000007</v>
      </c>
      <c r="AD8" s="2"/>
    </row>
    <row r="9" spans="1:30" x14ac:dyDescent="0.2">
      <c r="A9" s="35">
        <v>11111009</v>
      </c>
      <c r="B9" s="35" t="s">
        <v>19</v>
      </c>
      <c r="C9" s="66" t="s">
        <v>8</v>
      </c>
      <c r="D9" s="83">
        <v>1050</v>
      </c>
      <c r="E9" s="44">
        <v>11400</v>
      </c>
      <c r="F9" s="87">
        <v>1100</v>
      </c>
      <c r="G9" s="66">
        <v>4800</v>
      </c>
      <c r="H9" s="65">
        <v>7350</v>
      </c>
      <c r="I9" s="65"/>
      <c r="J9" s="44">
        <f t="shared" si="0"/>
        <v>12150</v>
      </c>
      <c r="K9" s="57">
        <v>1800</v>
      </c>
      <c r="L9" s="57">
        <f>D9+E9-F9</f>
        <v>11350</v>
      </c>
      <c r="M9" s="57">
        <f>F9+J9-K9</f>
        <v>11450</v>
      </c>
      <c r="N9" s="57"/>
      <c r="O9" s="46">
        <f t="shared" si="1"/>
        <v>8.8105726872246704E-3</v>
      </c>
      <c r="P9" s="46">
        <f>((H9+G9)-E9)/E9</f>
        <v>6.5789473684210523E-2</v>
      </c>
      <c r="Q9" s="60">
        <v>0.83720000000000006</v>
      </c>
      <c r="R9" s="67">
        <f t="shared" si="2"/>
        <v>9585.94</v>
      </c>
      <c r="S9" s="67">
        <f t="shared" si="3"/>
        <v>7213.5</v>
      </c>
      <c r="T9" s="104">
        <f t="shared" si="4"/>
        <v>2372.4400000000005</v>
      </c>
      <c r="U9" s="91">
        <f>H9*Q9</f>
        <v>6153.42</v>
      </c>
      <c r="V9" s="31"/>
      <c r="W9" s="1" t="s">
        <v>20</v>
      </c>
      <c r="X9" s="1" t="s">
        <v>21</v>
      </c>
      <c r="Y9" s="1" t="s">
        <v>10</v>
      </c>
      <c r="Z9" s="24">
        <v>0.63</v>
      </c>
      <c r="AA9" s="22">
        <f>Q9-Z9</f>
        <v>0.20720000000000005</v>
      </c>
      <c r="AB9" s="9">
        <f>AA9/Q9</f>
        <v>0.24749163879598668</v>
      </c>
      <c r="AC9" s="95">
        <f t="shared" si="5"/>
        <v>1522.9200000000003</v>
      </c>
      <c r="AD9" s="2"/>
    </row>
    <row r="10" spans="1:30" x14ac:dyDescent="0.2">
      <c r="A10" s="35">
        <v>11111010</v>
      </c>
      <c r="B10" s="35" t="s">
        <v>22</v>
      </c>
      <c r="C10" s="66" t="s">
        <v>8</v>
      </c>
      <c r="D10" s="83">
        <v>1000</v>
      </c>
      <c r="E10" s="44">
        <v>13400</v>
      </c>
      <c r="F10" s="87">
        <v>1000</v>
      </c>
      <c r="G10" s="66">
        <v>5600</v>
      </c>
      <c r="H10" s="65">
        <v>8350</v>
      </c>
      <c r="I10" s="65"/>
      <c r="J10" s="44">
        <f t="shared" si="0"/>
        <v>13950</v>
      </c>
      <c r="K10" s="57">
        <v>1400</v>
      </c>
      <c r="L10" s="57">
        <f>D10+E10-F10</f>
        <v>13400</v>
      </c>
      <c r="M10" s="57">
        <f>F10+J10-K10</f>
        <v>13550</v>
      </c>
      <c r="N10" s="57"/>
      <c r="O10" s="46">
        <f t="shared" si="1"/>
        <v>1.1194029850746268E-2</v>
      </c>
      <c r="P10" s="46">
        <f>((H10+G10)-E10)/E10</f>
        <v>4.1044776119402986E-2</v>
      </c>
      <c r="Q10" s="60">
        <v>0.83720000000000006</v>
      </c>
      <c r="R10" s="67">
        <f t="shared" si="2"/>
        <v>11344.060000000001</v>
      </c>
      <c r="S10" s="67">
        <f t="shared" si="3"/>
        <v>8536.5</v>
      </c>
      <c r="T10" s="104">
        <f t="shared" si="4"/>
        <v>2807.5600000000013</v>
      </c>
      <c r="U10" s="91">
        <f>H10*Q10</f>
        <v>6990.6200000000008</v>
      </c>
      <c r="V10" s="31"/>
      <c r="W10" s="1" t="s">
        <v>23</v>
      </c>
      <c r="X10" s="1" t="s">
        <v>24</v>
      </c>
      <c r="Y10" s="1" t="s">
        <v>10</v>
      </c>
      <c r="Z10" s="24">
        <v>0.63</v>
      </c>
      <c r="AA10" s="22">
        <f>Q10-Z10</f>
        <v>0.20720000000000005</v>
      </c>
      <c r="AB10" s="9">
        <f>AA10/Q10</f>
        <v>0.24749163879598668</v>
      </c>
      <c r="AC10" s="95">
        <f t="shared" si="5"/>
        <v>1730.1200000000003</v>
      </c>
      <c r="AD10" s="2"/>
    </row>
    <row r="11" spans="1:30" x14ac:dyDescent="0.2">
      <c r="A11" s="35">
        <v>11111011</v>
      </c>
      <c r="B11" s="35" t="s">
        <v>25</v>
      </c>
      <c r="C11" s="66" t="s">
        <v>8</v>
      </c>
      <c r="D11" s="83">
        <v>1100</v>
      </c>
      <c r="E11" s="44">
        <v>10000</v>
      </c>
      <c r="F11" s="87">
        <v>700</v>
      </c>
      <c r="G11" s="66">
        <v>4600</v>
      </c>
      <c r="H11" s="65">
        <v>6950</v>
      </c>
      <c r="I11" s="65"/>
      <c r="J11" s="44">
        <f t="shared" si="0"/>
        <v>11550</v>
      </c>
      <c r="K11" s="57">
        <v>1800</v>
      </c>
      <c r="L11" s="57">
        <f>D11+E11-F11</f>
        <v>10400</v>
      </c>
      <c r="M11" s="57">
        <f>F11+J11-K11</f>
        <v>10450</v>
      </c>
      <c r="N11" s="57"/>
      <c r="O11" s="46">
        <f t="shared" si="1"/>
        <v>4.807692307692308E-3</v>
      </c>
      <c r="P11" s="46">
        <f>((H11+G11)-E11)/E11</f>
        <v>0.155</v>
      </c>
      <c r="Q11" s="60">
        <v>0.83720000000000006</v>
      </c>
      <c r="R11" s="67">
        <f t="shared" si="2"/>
        <v>8748.74</v>
      </c>
      <c r="S11" s="67">
        <f t="shared" si="3"/>
        <v>6583.5</v>
      </c>
      <c r="T11" s="104">
        <f t="shared" si="4"/>
        <v>2165.2399999999998</v>
      </c>
      <c r="U11" s="91">
        <f>H11*Q11</f>
        <v>5818.54</v>
      </c>
      <c r="V11" s="31"/>
      <c r="W11" s="1" t="s">
        <v>26</v>
      </c>
      <c r="X11" s="1" t="s">
        <v>27</v>
      </c>
      <c r="Y11" s="1" t="s">
        <v>10</v>
      </c>
      <c r="Z11" s="24">
        <v>0.63</v>
      </c>
      <c r="AA11" s="22">
        <f>Q11-Z11</f>
        <v>0.20720000000000005</v>
      </c>
      <c r="AB11" s="9">
        <f>AA11/Q11</f>
        <v>0.24749163879598668</v>
      </c>
      <c r="AC11" s="95">
        <f t="shared" si="5"/>
        <v>1440.0400000000004</v>
      </c>
      <c r="AD11" s="2"/>
    </row>
    <row r="12" spans="1:30" x14ac:dyDescent="0.2">
      <c r="A12" s="35"/>
      <c r="B12" s="35"/>
      <c r="C12" s="66"/>
      <c r="D12" s="83"/>
      <c r="E12" s="44"/>
      <c r="F12" s="87"/>
      <c r="G12" s="66"/>
      <c r="H12" s="65"/>
      <c r="I12" s="65"/>
      <c r="J12" s="44"/>
      <c r="K12" s="57"/>
      <c r="L12" s="57"/>
      <c r="M12" s="57"/>
      <c r="N12" s="57"/>
      <c r="O12" s="46"/>
      <c r="P12" s="46"/>
      <c r="Q12" s="60"/>
      <c r="R12" s="67"/>
      <c r="S12" s="67"/>
      <c r="T12" s="104"/>
      <c r="U12" s="91"/>
      <c r="V12" s="31"/>
      <c r="W12" s="1"/>
      <c r="X12" s="1"/>
      <c r="Y12" s="1"/>
      <c r="Z12" s="24"/>
      <c r="AA12" s="22"/>
      <c r="AB12" s="9"/>
      <c r="AC12" s="95">
        <f t="shared" si="5"/>
        <v>0</v>
      </c>
      <c r="AD12" s="2">
        <f>SUM(AC8:AC11)</f>
        <v>4941.7200000000012</v>
      </c>
    </row>
    <row r="13" spans="1:30" x14ac:dyDescent="0.2">
      <c r="A13" s="35" t="s">
        <v>28</v>
      </c>
      <c r="B13" s="35" t="s">
        <v>29</v>
      </c>
      <c r="C13" s="66" t="s">
        <v>8</v>
      </c>
      <c r="D13" s="83">
        <v>1801</v>
      </c>
      <c r="E13" s="44">
        <v>5000</v>
      </c>
      <c r="F13" s="87">
        <v>1300</v>
      </c>
      <c r="G13" s="66">
        <v>4600</v>
      </c>
      <c r="H13" s="65">
        <v>1600</v>
      </c>
      <c r="I13" s="65"/>
      <c r="J13" s="44">
        <f t="shared" si="0"/>
        <v>6200</v>
      </c>
      <c r="K13" s="57">
        <v>1300</v>
      </c>
      <c r="L13" s="57">
        <f>D13+E13-F13</f>
        <v>5501</v>
      </c>
      <c r="M13" s="57">
        <f>F13+J13-K13</f>
        <v>6200</v>
      </c>
      <c r="N13" s="57"/>
      <c r="O13" s="46">
        <f t="shared" si="1"/>
        <v>0.12706780585348118</v>
      </c>
      <c r="P13" s="46">
        <f>((H13+G13)-E13)/E13</f>
        <v>0.24</v>
      </c>
      <c r="Q13" s="60">
        <v>0.54620000000000002</v>
      </c>
      <c r="R13" s="67">
        <f t="shared" si="2"/>
        <v>3386.44</v>
      </c>
      <c r="S13" s="67">
        <f t="shared" si="3"/>
        <v>1984</v>
      </c>
      <c r="T13" s="104">
        <f t="shared" si="4"/>
        <v>1402.44</v>
      </c>
      <c r="U13" s="91">
        <f>H13*Q13</f>
        <v>873.92000000000007</v>
      </c>
      <c r="V13" s="31"/>
      <c r="W13" s="1" t="s">
        <v>155</v>
      </c>
      <c r="X13" s="1" t="s">
        <v>134</v>
      </c>
      <c r="Y13" s="1" t="s">
        <v>10</v>
      </c>
      <c r="Z13" s="24">
        <v>0.32</v>
      </c>
      <c r="AA13" s="22">
        <f>Q13-Z13</f>
        <v>0.22620000000000001</v>
      </c>
      <c r="AB13" s="9">
        <f>AA13/Q13</f>
        <v>0.41413401684364703</v>
      </c>
      <c r="AC13" s="95">
        <f t="shared" si="5"/>
        <v>361.92</v>
      </c>
      <c r="AD13" s="2"/>
    </row>
    <row r="14" spans="1:30" x14ac:dyDescent="0.2">
      <c r="A14" s="35" t="s">
        <v>30</v>
      </c>
      <c r="B14" s="35" t="s">
        <v>31</v>
      </c>
      <c r="C14" s="66" t="s">
        <v>8</v>
      </c>
      <c r="D14" s="83">
        <v>1201</v>
      </c>
      <c r="E14" s="44">
        <v>21600</v>
      </c>
      <c r="F14" s="87">
        <v>1000</v>
      </c>
      <c r="G14" s="66">
        <v>7400</v>
      </c>
      <c r="H14" s="65">
        <v>12400</v>
      </c>
      <c r="I14" s="65"/>
      <c r="J14" s="44">
        <f t="shared" si="0"/>
        <v>19800</v>
      </c>
      <c r="K14" s="57">
        <v>3500</v>
      </c>
      <c r="L14" s="57">
        <f>D14+E14-F14</f>
        <v>21801</v>
      </c>
      <c r="M14" s="57">
        <f>F14+J14-K14</f>
        <v>17300</v>
      </c>
      <c r="N14" s="57"/>
      <c r="O14" s="46">
        <f t="shared" si="1"/>
        <v>-0.20645841933856246</v>
      </c>
      <c r="P14" s="46">
        <f>((H14+G14)-E14)/E14</f>
        <v>-8.3333333333333329E-2</v>
      </c>
      <c r="Q14" s="60">
        <v>0.54620000000000002</v>
      </c>
      <c r="R14" s="67">
        <f t="shared" si="2"/>
        <v>9449.26</v>
      </c>
      <c r="S14" s="67">
        <f t="shared" si="3"/>
        <v>5536</v>
      </c>
      <c r="T14" s="104">
        <f t="shared" si="4"/>
        <v>3913.26</v>
      </c>
      <c r="U14" s="91">
        <f>H14*Q14</f>
        <v>6772.88</v>
      </c>
      <c r="V14" s="31"/>
      <c r="W14" s="1" t="s">
        <v>32</v>
      </c>
      <c r="X14" s="1" t="s">
        <v>33</v>
      </c>
      <c r="Y14" s="1" t="s">
        <v>10</v>
      </c>
      <c r="Z14" s="24">
        <v>0.32</v>
      </c>
      <c r="AA14" s="22">
        <f>Q14-Z14</f>
        <v>0.22620000000000001</v>
      </c>
      <c r="AB14" s="9">
        <f>AA14/Q14</f>
        <v>0.41413401684364703</v>
      </c>
      <c r="AC14" s="95">
        <f t="shared" si="5"/>
        <v>2804.88</v>
      </c>
      <c r="AD14" s="2"/>
    </row>
    <row r="15" spans="1:30" x14ac:dyDescent="0.2">
      <c r="A15" s="35" t="s">
        <v>34</v>
      </c>
      <c r="B15" s="35" t="s">
        <v>35</v>
      </c>
      <c r="C15" s="66" t="s">
        <v>8</v>
      </c>
      <c r="D15" s="83">
        <v>1911</v>
      </c>
      <c r="E15" s="44">
        <v>16000</v>
      </c>
      <c r="F15" s="87">
        <v>1300</v>
      </c>
      <c r="G15" s="66">
        <v>9600</v>
      </c>
      <c r="H15" s="65">
        <v>11600</v>
      </c>
      <c r="I15" s="65"/>
      <c r="J15" s="44">
        <f t="shared" si="0"/>
        <v>21200</v>
      </c>
      <c r="K15" s="57">
        <v>2000</v>
      </c>
      <c r="L15" s="57">
        <f>D15+E15-F15</f>
        <v>16611</v>
      </c>
      <c r="M15" s="57">
        <f>F15+J15-K15</f>
        <v>20500</v>
      </c>
      <c r="N15" s="57"/>
      <c r="O15" s="46">
        <f t="shared" si="1"/>
        <v>0.2341219673710192</v>
      </c>
      <c r="P15" s="46">
        <f>((H15+G15)-E15)/E15</f>
        <v>0.32500000000000001</v>
      </c>
      <c r="Q15" s="60">
        <v>0.54620000000000002</v>
      </c>
      <c r="R15" s="67">
        <f t="shared" si="2"/>
        <v>11197.1</v>
      </c>
      <c r="S15" s="67">
        <f t="shared" si="3"/>
        <v>6560</v>
      </c>
      <c r="T15" s="104">
        <f t="shared" si="4"/>
        <v>4637.1000000000004</v>
      </c>
      <c r="U15" s="91">
        <f>H15*Q15</f>
        <v>6335.92</v>
      </c>
      <c r="V15" s="31"/>
      <c r="W15" s="1" t="s">
        <v>36</v>
      </c>
      <c r="X15" s="1" t="s">
        <v>37</v>
      </c>
      <c r="Y15" s="1" t="s">
        <v>10</v>
      </c>
      <c r="Z15" s="24">
        <v>0.32</v>
      </c>
      <c r="AA15" s="22">
        <f>Q15-Z15</f>
        <v>0.22620000000000001</v>
      </c>
      <c r="AB15" s="9">
        <f>AA15/Q15</f>
        <v>0.41413401684364703</v>
      </c>
      <c r="AC15" s="95">
        <f t="shared" si="5"/>
        <v>2623.92</v>
      </c>
      <c r="AD15" s="2"/>
    </row>
    <row r="16" spans="1:30" x14ac:dyDescent="0.2">
      <c r="A16" s="35" t="s">
        <v>38</v>
      </c>
      <c r="B16" s="35" t="s">
        <v>39</v>
      </c>
      <c r="C16" s="66" t="s">
        <v>8</v>
      </c>
      <c r="D16" s="83">
        <v>1651</v>
      </c>
      <c r="E16" s="44">
        <v>13800</v>
      </c>
      <c r="F16" s="87">
        <v>1200</v>
      </c>
      <c r="G16" s="66">
        <v>6200</v>
      </c>
      <c r="H16" s="65">
        <v>9000</v>
      </c>
      <c r="I16" s="65"/>
      <c r="J16" s="44">
        <f t="shared" si="0"/>
        <v>15200</v>
      </c>
      <c r="K16" s="57">
        <v>1400</v>
      </c>
      <c r="L16" s="57">
        <f>D16+E16-F16</f>
        <v>14251</v>
      </c>
      <c r="M16" s="57">
        <f>F16+J16-K16</f>
        <v>15000</v>
      </c>
      <c r="N16" s="57"/>
      <c r="O16" s="46">
        <f t="shared" si="1"/>
        <v>5.2557715248052771E-2</v>
      </c>
      <c r="P16" s="46">
        <f>((H16+G16)-E16)/E16</f>
        <v>0.10144927536231885</v>
      </c>
      <c r="Q16" s="60">
        <v>0.54620000000000002</v>
      </c>
      <c r="R16" s="67">
        <f t="shared" si="2"/>
        <v>8193</v>
      </c>
      <c r="S16" s="67">
        <f t="shared" si="3"/>
        <v>4800</v>
      </c>
      <c r="T16" s="104">
        <f t="shared" si="4"/>
        <v>3393</v>
      </c>
      <c r="U16" s="91">
        <f>H16*Q16</f>
        <v>4915.8</v>
      </c>
      <c r="V16" s="31"/>
      <c r="W16" s="1" t="s">
        <v>40</v>
      </c>
      <c r="X16" s="1" t="s">
        <v>41</v>
      </c>
      <c r="Y16" s="1" t="s">
        <v>10</v>
      </c>
      <c r="Z16" s="24">
        <v>0.32</v>
      </c>
      <c r="AA16" s="22">
        <f>Q16-Z16</f>
        <v>0.22620000000000001</v>
      </c>
      <c r="AB16" s="9">
        <f>AA16/Q16</f>
        <v>0.41413401684364703</v>
      </c>
      <c r="AC16" s="95">
        <f t="shared" si="5"/>
        <v>2035.8000000000002</v>
      </c>
      <c r="AD16" s="2"/>
    </row>
    <row r="17" spans="1:30" x14ac:dyDescent="0.2">
      <c r="A17" s="35" t="s">
        <v>42</v>
      </c>
      <c r="B17" s="35" t="s">
        <v>43</v>
      </c>
      <c r="C17" s="66" t="s">
        <v>8</v>
      </c>
      <c r="D17" s="83">
        <v>2001</v>
      </c>
      <c r="E17" s="44">
        <v>7200</v>
      </c>
      <c r="F17" s="87">
        <v>1100</v>
      </c>
      <c r="G17" s="66">
        <v>3400</v>
      </c>
      <c r="H17" s="65">
        <v>6400</v>
      </c>
      <c r="I17" s="65"/>
      <c r="J17" s="44">
        <f t="shared" si="0"/>
        <v>9800</v>
      </c>
      <c r="K17" s="57">
        <v>1100</v>
      </c>
      <c r="L17" s="57">
        <f>D17+E17-F17</f>
        <v>8101</v>
      </c>
      <c r="M17" s="57">
        <f>F17+J17-K17</f>
        <v>9800</v>
      </c>
      <c r="N17" s="57"/>
      <c r="O17" s="46">
        <f t="shared" si="1"/>
        <v>0.20972719417355881</v>
      </c>
      <c r="P17" s="46">
        <f>((H17+G17)-E17)/E17</f>
        <v>0.3611111111111111</v>
      </c>
      <c r="Q17" s="60">
        <v>0.54620000000000002</v>
      </c>
      <c r="R17" s="67">
        <f t="shared" si="2"/>
        <v>5352.76</v>
      </c>
      <c r="S17" s="67">
        <f t="shared" si="3"/>
        <v>3136</v>
      </c>
      <c r="T17" s="104">
        <f t="shared" si="4"/>
        <v>2216.7600000000002</v>
      </c>
      <c r="U17" s="91">
        <f>H17*Q17</f>
        <v>3495.6800000000003</v>
      </c>
      <c r="V17" s="31"/>
      <c r="W17" s="1" t="s">
        <v>44</v>
      </c>
      <c r="X17" s="1" t="s">
        <v>45</v>
      </c>
      <c r="Y17" s="1" t="s">
        <v>10</v>
      </c>
      <c r="Z17" s="24">
        <v>0.32</v>
      </c>
      <c r="AA17" s="22">
        <f>Q17-Z17</f>
        <v>0.22620000000000001</v>
      </c>
      <c r="AB17" s="9">
        <f>AA17/Q17</f>
        <v>0.41413401684364703</v>
      </c>
      <c r="AC17" s="95">
        <f t="shared" si="5"/>
        <v>1447.68</v>
      </c>
      <c r="AD17" s="2"/>
    </row>
    <row r="18" spans="1:30" ht="12" customHeight="1" x14ac:dyDescent="0.2">
      <c r="A18" s="35"/>
      <c r="B18" s="35"/>
      <c r="C18" s="66"/>
      <c r="D18" s="83"/>
      <c r="E18" s="44"/>
      <c r="F18" s="87"/>
      <c r="G18" s="66"/>
      <c r="H18" s="65"/>
      <c r="I18" s="65"/>
      <c r="J18" s="44"/>
      <c r="K18" s="57"/>
      <c r="L18" s="57"/>
      <c r="M18" s="57"/>
      <c r="N18" s="57"/>
      <c r="O18" s="46"/>
      <c r="P18" s="46"/>
      <c r="Q18" s="60"/>
      <c r="R18" s="67"/>
      <c r="S18" s="67"/>
      <c r="T18" s="104"/>
      <c r="U18" s="91"/>
      <c r="V18" s="31"/>
      <c r="W18" s="1"/>
      <c r="X18" s="1"/>
      <c r="Y18" s="1"/>
      <c r="Z18" s="24"/>
      <c r="AA18" s="22"/>
      <c r="AB18" s="9"/>
      <c r="AC18" s="96">
        <f t="shared" si="5"/>
        <v>0</v>
      </c>
      <c r="AD18" s="2">
        <f>SUM(AC13:AC17)</f>
        <v>9274.2000000000007</v>
      </c>
    </row>
    <row r="19" spans="1:30" s="34" customFormat="1" x14ac:dyDescent="0.2">
      <c r="A19" s="35" t="s">
        <v>46</v>
      </c>
      <c r="B19" s="35" t="s">
        <v>47</v>
      </c>
      <c r="C19" s="66" t="s">
        <v>13</v>
      </c>
      <c r="D19" s="83">
        <v>11100</v>
      </c>
      <c r="E19" s="44">
        <v>104000</v>
      </c>
      <c r="F19" s="87">
        <v>10900</v>
      </c>
      <c r="G19" s="66">
        <v>32000</v>
      </c>
      <c r="H19" s="188">
        <v>100000</v>
      </c>
      <c r="I19" s="108"/>
      <c r="J19" s="44">
        <v>32000</v>
      </c>
      <c r="K19" s="80">
        <v>0</v>
      </c>
      <c r="L19" s="57">
        <f>D19+E19-F19</f>
        <v>104200</v>
      </c>
      <c r="M19" s="57">
        <f>F19+J19-K19</f>
        <v>42900</v>
      </c>
      <c r="N19" s="57"/>
      <c r="O19" s="46">
        <f t="shared" si="1"/>
        <v>-0.58829174664107486</v>
      </c>
      <c r="P19" s="46">
        <f>((0+G19)-E19)/E19</f>
        <v>-0.69230769230769229</v>
      </c>
      <c r="Q19" s="60">
        <v>0.28000000000000003</v>
      </c>
      <c r="R19" s="67">
        <f t="shared" si="2"/>
        <v>12012.000000000002</v>
      </c>
      <c r="S19" s="67">
        <f t="shared" si="3"/>
        <v>557.69999999999993</v>
      </c>
      <c r="T19" s="104">
        <f t="shared" si="4"/>
        <v>11454.300000000001</v>
      </c>
      <c r="U19" s="190">
        <f>H19*0.165</f>
        <v>16500</v>
      </c>
      <c r="V19" s="36"/>
      <c r="W19" s="35">
        <v>11010001</v>
      </c>
      <c r="X19" s="35" t="s">
        <v>48</v>
      </c>
      <c r="Y19" s="37" t="s">
        <v>10</v>
      </c>
      <c r="Z19" s="38">
        <v>1.2999999999999999E-2</v>
      </c>
      <c r="AA19" s="39">
        <f>Q19-Z19</f>
        <v>0.26700000000000002</v>
      </c>
      <c r="AB19" s="40">
        <f>AA19/Q19</f>
        <v>0.95357142857142851</v>
      </c>
      <c r="AC19" s="169">
        <f t="shared" si="5"/>
        <v>26700</v>
      </c>
      <c r="AD19" s="41"/>
    </row>
    <row r="20" spans="1:30" s="34" customFormat="1" x14ac:dyDescent="0.2">
      <c r="A20" s="35">
        <v>11010001</v>
      </c>
      <c r="B20" s="35" t="s">
        <v>48</v>
      </c>
      <c r="C20" s="66" t="s">
        <v>154</v>
      </c>
      <c r="D20" s="83">
        <v>9600</v>
      </c>
      <c r="E20" s="44">
        <v>40000</v>
      </c>
      <c r="F20" s="87">
        <v>9800</v>
      </c>
      <c r="G20" s="66">
        <v>40000</v>
      </c>
      <c r="H20" s="189"/>
      <c r="I20" s="109"/>
      <c r="J20" s="44">
        <v>140000</v>
      </c>
      <c r="K20" s="50">
        <v>14580</v>
      </c>
      <c r="L20" s="57">
        <f>D20+E20-F20</f>
        <v>39800</v>
      </c>
      <c r="M20" s="57">
        <f>F20+J20-K20</f>
        <v>135220</v>
      </c>
      <c r="N20" s="57"/>
      <c r="O20" s="46">
        <f t="shared" si="1"/>
        <v>2.3974874371859296</v>
      </c>
      <c r="P20" s="46">
        <f>((140000)-E20)/E20</f>
        <v>2.5</v>
      </c>
      <c r="Q20" s="60">
        <v>0.05</v>
      </c>
      <c r="R20" s="67">
        <f t="shared" si="2"/>
        <v>6761</v>
      </c>
      <c r="S20" s="67">
        <f t="shared" si="3"/>
        <v>1757.86</v>
      </c>
      <c r="T20" s="104">
        <f t="shared" si="4"/>
        <v>5003.1400000000003</v>
      </c>
      <c r="U20" s="191"/>
      <c r="V20" s="36"/>
      <c r="W20" s="35">
        <v>11010001</v>
      </c>
      <c r="X20" s="35" t="s">
        <v>48</v>
      </c>
      <c r="Y20" s="37" t="s">
        <v>10</v>
      </c>
      <c r="Z20" s="38">
        <v>1.2999999999999999E-2</v>
      </c>
      <c r="AA20" s="39">
        <f>Q20-Z20</f>
        <v>3.7000000000000005E-2</v>
      </c>
      <c r="AB20" s="40">
        <f>AA20/Q20</f>
        <v>0.7400000000000001</v>
      </c>
      <c r="AC20" s="170">
        <f t="shared" si="5"/>
        <v>0</v>
      </c>
      <c r="AD20" s="41"/>
    </row>
    <row r="21" spans="1:30" x14ac:dyDescent="0.2">
      <c r="A21" s="35"/>
      <c r="B21" s="35"/>
      <c r="C21" s="66"/>
      <c r="D21" s="83"/>
      <c r="E21" s="44"/>
      <c r="F21" s="87"/>
      <c r="G21" s="66"/>
      <c r="H21" s="65"/>
      <c r="I21" s="65"/>
      <c r="J21" s="44"/>
      <c r="K21" s="57"/>
      <c r="L21" s="57"/>
      <c r="M21" s="57"/>
      <c r="N21" s="57"/>
      <c r="O21" s="46"/>
      <c r="P21" s="46"/>
      <c r="Q21" s="60"/>
      <c r="R21" s="67"/>
      <c r="S21" s="67"/>
      <c r="T21" s="104"/>
      <c r="U21" s="91"/>
      <c r="V21" s="31"/>
      <c r="W21" s="1"/>
      <c r="X21" s="1"/>
      <c r="Y21" s="1"/>
      <c r="Z21" s="24"/>
      <c r="AA21" s="22"/>
      <c r="AB21" s="9"/>
      <c r="AC21" s="96">
        <f t="shared" si="5"/>
        <v>0</v>
      </c>
      <c r="AD21" s="2"/>
    </row>
    <row r="22" spans="1:30" x14ac:dyDescent="0.2">
      <c r="A22" s="35">
        <v>11022002</v>
      </c>
      <c r="B22" s="35" t="s">
        <v>49</v>
      </c>
      <c r="C22" s="66" t="s">
        <v>50</v>
      </c>
      <c r="D22" s="83">
        <v>10800</v>
      </c>
      <c r="E22" s="44">
        <v>141600</v>
      </c>
      <c r="F22" s="87">
        <v>2000</v>
      </c>
      <c r="G22" s="66">
        <v>60800</v>
      </c>
      <c r="H22" s="65">
        <v>76800</v>
      </c>
      <c r="I22" s="65"/>
      <c r="J22" s="44">
        <f t="shared" si="0"/>
        <v>137600</v>
      </c>
      <c r="K22" s="57">
        <v>7000</v>
      </c>
      <c r="L22" s="57">
        <f>D22+E22-F22</f>
        <v>150400</v>
      </c>
      <c r="M22" s="57">
        <f>F22+J22-K22</f>
        <v>132600</v>
      </c>
      <c r="N22" s="57"/>
      <c r="O22" s="46">
        <f t="shared" si="1"/>
        <v>-0.11835106382978723</v>
      </c>
      <c r="P22" s="46">
        <f>((H22+G22)-E22)/E22</f>
        <v>-2.8248587570621469E-2</v>
      </c>
      <c r="Q22" s="60">
        <v>3.3000000000000002E-2</v>
      </c>
      <c r="R22" s="67">
        <f t="shared" si="2"/>
        <v>4375.8</v>
      </c>
      <c r="S22" s="67">
        <f t="shared" si="3"/>
        <v>3712.8</v>
      </c>
      <c r="T22" s="104">
        <f t="shared" si="4"/>
        <v>663</v>
      </c>
      <c r="U22" s="91">
        <f>H22*Q22</f>
        <v>2534.4</v>
      </c>
      <c r="V22" s="31"/>
      <c r="W22" s="1">
        <v>11022002</v>
      </c>
      <c r="X22" s="1" t="s">
        <v>49</v>
      </c>
      <c r="Y22" s="1" t="s">
        <v>10</v>
      </c>
      <c r="Z22" s="24">
        <v>2.8000000000000001E-2</v>
      </c>
      <c r="AA22" s="22">
        <f>Q22-Z22</f>
        <v>5.000000000000001E-3</v>
      </c>
      <c r="AB22" s="9">
        <f>AA22/Q22</f>
        <v>0.15151515151515155</v>
      </c>
      <c r="AC22" s="95">
        <f t="shared" si="5"/>
        <v>384.00000000000006</v>
      </c>
      <c r="AD22" s="2"/>
    </row>
    <row r="23" spans="1:30" x14ac:dyDescent="0.2">
      <c r="A23" s="35">
        <v>11022003</v>
      </c>
      <c r="B23" s="35" t="s">
        <v>51</v>
      </c>
      <c r="C23" s="66" t="s">
        <v>50</v>
      </c>
      <c r="D23" s="83">
        <v>13100</v>
      </c>
      <c r="E23" s="44">
        <v>200000</v>
      </c>
      <c r="F23" s="87">
        <v>8900</v>
      </c>
      <c r="G23" s="66">
        <v>80500</v>
      </c>
      <c r="H23" s="65">
        <v>111600</v>
      </c>
      <c r="I23" s="65"/>
      <c r="J23" s="44">
        <f t="shared" si="0"/>
        <v>192100</v>
      </c>
      <c r="K23" s="57">
        <v>12215</v>
      </c>
      <c r="L23" s="57">
        <f>D23+E23-F23</f>
        <v>204200</v>
      </c>
      <c r="M23" s="57">
        <f>F23+J23-K23</f>
        <v>188785</v>
      </c>
      <c r="N23" s="57"/>
      <c r="O23" s="46">
        <f t="shared" si="1"/>
        <v>-7.5489715964740453E-2</v>
      </c>
      <c r="P23" s="46">
        <f>((H23+G23)-E23)/E23</f>
        <v>-3.95E-2</v>
      </c>
      <c r="Q23" s="60">
        <v>3.5999999999999997E-2</v>
      </c>
      <c r="R23" s="67">
        <f t="shared" si="2"/>
        <v>6796.2599999999993</v>
      </c>
      <c r="S23" s="67">
        <f t="shared" si="3"/>
        <v>6041.12</v>
      </c>
      <c r="T23" s="104">
        <f t="shared" si="4"/>
        <v>755.13999999999942</v>
      </c>
      <c r="U23" s="91">
        <f>H23*Q23</f>
        <v>4017.6</v>
      </c>
      <c r="V23" s="31"/>
      <c r="W23" s="1">
        <v>11022003</v>
      </c>
      <c r="X23" s="1" t="s">
        <v>51</v>
      </c>
      <c r="Y23" s="1" t="s">
        <v>10</v>
      </c>
      <c r="Z23" s="24">
        <v>3.2000000000000001E-2</v>
      </c>
      <c r="AA23" s="22">
        <f>Q23-Z23</f>
        <v>3.9999999999999966E-3</v>
      </c>
      <c r="AB23" s="9">
        <f>AA23/Q23</f>
        <v>0.11111111111111102</v>
      </c>
      <c r="AC23" s="95">
        <f t="shared" si="5"/>
        <v>446.39999999999964</v>
      </c>
      <c r="AD23" s="2"/>
    </row>
    <row r="24" spans="1:30" x14ac:dyDescent="0.2">
      <c r="A24" s="35">
        <v>11022004</v>
      </c>
      <c r="B24" s="35" t="s">
        <v>52</v>
      </c>
      <c r="C24" s="66" t="s">
        <v>50</v>
      </c>
      <c r="D24" s="83">
        <v>9430</v>
      </c>
      <c r="E24" s="44">
        <v>161600</v>
      </c>
      <c r="F24" s="87">
        <v>7500</v>
      </c>
      <c r="G24" s="66">
        <v>69200</v>
      </c>
      <c r="H24" s="65">
        <v>99600</v>
      </c>
      <c r="I24" s="65"/>
      <c r="J24" s="44">
        <f t="shared" si="0"/>
        <v>168800</v>
      </c>
      <c r="K24" s="57">
        <v>6500</v>
      </c>
      <c r="L24" s="57">
        <f>D24+E24-F24</f>
        <v>163530</v>
      </c>
      <c r="M24" s="57">
        <f>F24+J24-K24</f>
        <v>169800</v>
      </c>
      <c r="N24" s="57"/>
      <c r="O24" s="46">
        <f t="shared" si="1"/>
        <v>3.8341588699321229E-2</v>
      </c>
      <c r="P24" s="46">
        <f>((H24+G24)-E24)/E24</f>
        <v>4.4554455445544552E-2</v>
      </c>
      <c r="Q24" s="60">
        <v>5.1999999999999998E-2</v>
      </c>
      <c r="R24" s="67">
        <f t="shared" si="2"/>
        <v>8829.6</v>
      </c>
      <c r="S24" s="67">
        <f t="shared" si="3"/>
        <v>7641</v>
      </c>
      <c r="T24" s="104">
        <f t="shared" si="4"/>
        <v>1188.6000000000004</v>
      </c>
      <c r="U24" s="91">
        <f>H24*Q24</f>
        <v>5179.2</v>
      </c>
      <c r="V24" s="31"/>
      <c r="W24" s="1">
        <v>11022004</v>
      </c>
      <c r="X24" s="1" t="s">
        <v>52</v>
      </c>
      <c r="Y24" s="1" t="s">
        <v>10</v>
      </c>
      <c r="Z24" s="24">
        <v>4.4999999999999998E-2</v>
      </c>
      <c r="AA24" s="22">
        <f>Q24-Z24</f>
        <v>6.9999999999999993E-3</v>
      </c>
      <c r="AB24" s="9">
        <f>AA24/Q24</f>
        <v>0.13461538461538461</v>
      </c>
      <c r="AC24" s="95">
        <f t="shared" si="5"/>
        <v>697.19999999999993</v>
      </c>
      <c r="AD24" s="2"/>
    </row>
    <row r="25" spans="1:30" x14ac:dyDescent="0.2">
      <c r="A25" s="35">
        <v>11022005</v>
      </c>
      <c r="B25" s="35" t="s">
        <v>53</v>
      </c>
      <c r="C25" s="66" t="s">
        <v>50</v>
      </c>
      <c r="D25" s="83">
        <v>7600</v>
      </c>
      <c r="E25" s="44">
        <v>80800</v>
      </c>
      <c r="F25" s="87">
        <v>4000</v>
      </c>
      <c r="G25" s="66">
        <v>40200</v>
      </c>
      <c r="H25" s="65">
        <v>40800</v>
      </c>
      <c r="I25" s="65"/>
      <c r="J25" s="44">
        <f t="shared" si="0"/>
        <v>81000</v>
      </c>
      <c r="K25" s="57">
        <v>2900</v>
      </c>
      <c r="L25" s="57">
        <f>D25+E25-F25</f>
        <v>84400</v>
      </c>
      <c r="M25" s="57">
        <f>F25+J25-K25</f>
        <v>82100</v>
      </c>
      <c r="N25" s="57"/>
      <c r="O25" s="46">
        <f t="shared" si="1"/>
        <v>-2.7251184834123223E-2</v>
      </c>
      <c r="P25" s="46">
        <f>((H25+G25)-E25)/E25</f>
        <v>2.4752475247524753E-3</v>
      </c>
      <c r="Q25" s="60">
        <v>0.08</v>
      </c>
      <c r="R25" s="67">
        <f t="shared" si="2"/>
        <v>6568</v>
      </c>
      <c r="S25" s="67">
        <f t="shared" si="3"/>
        <v>5747.0000000000009</v>
      </c>
      <c r="T25" s="104">
        <f t="shared" si="4"/>
        <v>820.99999999999909</v>
      </c>
      <c r="U25" s="91">
        <f>H25*Q25</f>
        <v>3264</v>
      </c>
      <c r="V25" s="31"/>
      <c r="W25" s="1">
        <v>11022005</v>
      </c>
      <c r="X25" s="1" t="s">
        <v>53</v>
      </c>
      <c r="Y25" s="1" t="s">
        <v>10</v>
      </c>
      <c r="Z25" s="24">
        <v>7.0000000000000007E-2</v>
      </c>
      <c r="AA25" s="22">
        <f>Q25-Z25</f>
        <v>9.999999999999995E-3</v>
      </c>
      <c r="AB25" s="9">
        <f>AA25/Q25</f>
        <v>0.12499999999999993</v>
      </c>
      <c r="AC25" s="95">
        <f t="shared" si="5"/>
        <v>407.99999999999977</v>
      </c>
      <c r="AD25" s="2"/>
    </row>
    <row r="26" spans="1:30" x14ac:dyDescent="0.2">
      <c r="A26" s="35"/>
      <c r="B26" s="35"/>
      <c r="C26" s="66"/>
      <c r="D26" s="83">
        <v>2232</v>
      </c>
      <c r="E26" s="44"/>
      <c r="F26" s="87"/>
      <c r="G26" s="66"/>
      <c r="H26" s="65"/>
      <c r="I26" s="65"/>
      <c r="J26" s="44"/>
      <c r="K26" s="52"/>
      <c r="L26" s="57"/>
      <c r="M26" s="57"/>
      <c r="N26" s="57"/>
      <c r="O26" s="46"/>
      <c r="P26" s="46"/>
      <c r="Q26" s="60"/>
      <c r="R26" s="67"/>
      <c r="S26" s="67"/>
      <c r="T26" s="104"/>
      <c r="U26" s="91"/>
      <c r="V26" s="31"/>
      <c r="W26" s="1"/>
      <c r="X26" s="1"/>
      <c r="Y26" s="1"/>
      <c r="Z26" s="24"/>
      <c r="AA26" s="22"/>
      <c r="AB26" s="9"/>
      <c r="AC26" s="96">
        <f t="shared" si="5"/>
        <v>0</v>
      </c>
      <c r="AD26" s="4">
        <f>SUM(AC22:AC25)</f>
        <v>1935.5999999999992</v>
      </c>
    </row>
    <row r="27" spans="1:30" x14ac:dyDescent="0.2">
      <c r="A27" s="35">
        <v>11000024</v>
      </c>
      <c r="B27" s="35" t="s">
        <v>54</v>
      </c>
      <c r="C27" s="66" t="s">
        <v>50</v>
      </c>
      <c r="D27" s="83">
        <v>2232</v>
      </c>
      <c r="E27" s="44">
        <v>11635</v>
      </c>
      <c r="F27" s="87">
        <v>710</v>
      </c>
      <c r="G27" s="66">
        <v>9517</v>
      </c>
      <c r="H27" s="65">
        <v>6000</v>
      </c>
      <c r="I27" s="65"/>
      <c r="J27" s="44">
        <f t="shared" si="0"/>
        <v>15517</v>
      </c>
      <c r="K27" s="57">
        <v>1120</v>
      </c>
      <c r="L27" s="57">
        <f>D27+E27-F27</f>
        <v>13157</v>
      </c>
      <c r="M27" s="57">
        <f>F27+J27-K27</f>
        <v>15107</v>
      </c>
      <c r="N27" s="57"/>
      <c r="O27" s="46">
        <f t="shared" si="1"/>
        <v>0.1482100782853234</v>
      </c>
      <c r="P27" s="46">
        <f>((H27+G27)-E27)/E27</f>
        <v>0.33364847443059731</v>
      </c>
      <c r="Q27" s="60">
        <v>1.08</v>
      </c>
      <c r="R27" s="67">
        <f t="shared" si="2"/>
        <v>16315.560000000001</v>
      </c>
      <c r="S27" s="67">
        <f t="shared" si="3"/>
        <v>12840.949999999999</v>
      </c>
      <c r="T27" s="104">
        <f t="shared" si="4"/>
        <v>3474.6100000000024</v>
      </c>
      <c r="U27" s="91">
        <f>H27*Q27</f>
        <v>6480</v>
      </c>
      <c r="V27" s="31"/>
      <c r="W27" s="1">
        <v>11000024</v>
      </c>
      <c r="X27" s="1" t="s">
        <v>54</v>
      </c>
      <c r="Y27" s="1" t="s">
        <v>10</v>
      </c>
      <c r="Z27" s="24">
        <v>0.85</v>
      </c>
      <c r="AA27" s="22">
        <f>Q27-Z27</f>
        <v>0.23000000000000009</v>
      </c>
      <c r="AB27" s="9">
        <f>AA27/Q27</f>
        <v>0.21296296296296305</v>
      </c>
      <c r="AC27" s="95">
        <f t="shared" si="5"/>
        <v>1380.0000000000005</v>
      </c>
      <c r="AD27" s="2"/>
    </row>
    <row r="28" spans="1:30" x14ac:dyDescent="0.2">
      <c r="A28" s="35" t="s">
        <v>55</v>
      </c>
      <c r="B28" s="35" t="s">
        <v>56</v>
      </c>
      <c r="C28" s="66" t="s">
        <v>57</v>
      </c>
      <c r="D28" s="83">
        <v>6524</v>
      </c>
      <c r="E28" s="44">
        <v>43000</v>
      </c>
      <c r="F28" s="87">
        <v>4400</v>
      </c>
      <c r="G28" s="66">
        <v>21050</v>
      </c>
      <c r="H28" s="65">
        <v>18500</v>
      </c>
      <c r="I28" s="65"/>
      <c r="J28" s="44">
        <f t="shared" si="0"/>
        <v>39550</v>
      </c>
      <c r="K28" s="57">
        <v>3250</v>
      </c>
      <c r="L28" s="57">
        <f>D28+E28-F28</f>
        <v>45124</v>
      </c>
      <c r="M28" s="57">
        <f>F28+J28-K28</f>
        <v>40700</v>
      </c>
      <c r="N28" s="57"/>
      <c r="O28" s="46">
        <f t="shared" si="1"/>
        <v>-9.804095381615105E-2</v>
      </c>
      <c r="P28" s="46">
        <f>((H28+G28)-E28)/E28</f>
        <v>-8.0232558139534879E-2</v>
      </c>
      <c r="Q28" s="60">
        <v>0.34100000000000003</v>
      </c>
      <c r="R28" s="67">
        <f t="shared" si="2"/>
        <v>13878.7</v>
      </c>
      <c r="S28" s="67">
        <f t="shared" si="3"/>
        <v>5087.5</v>
      </c>
      <c r="T28" s="104">
        <f t="shared" si="4"/>
        <v>8791.2000000000007</v>
      </c>
      <c r="U28" s="91">
        <f>H28*Q28</f>
        <v>6308.5000000000009</v>
      </c>
      <c r="V28" s="31"/>
      <c r="W28" s="1" t="s">
        <v>58</v>
      </c>
      <c r="X28" s="1" t="s">
        <v>59</v>
      </c>
      <c r="Y28" s="1" t="s">
        <v>10</v>
      </c>
      <c r="Z28" s="24">
        <v>0.125</v>
      </c>
      <c r="AA28" s="22">
        <f>Q28-Z28</f>
        <v>0.21600000000000003</v>
      </c>
      <c r="AB28" s="9">
        <f>AA28/Q28</f>
        <v>0.63343108504398826</v>
      </c>
      <c r="AC28" s="95">
        <f t="shared" si="5"/>
        <v>3996.0000000000005</v>
      </c>
      <c r="AD28" s="2"/>
    </row>
    <row r="29" spans="1:30" x14ac:dyDescent="0.2">
      <c r="A29" s="35" t="s">
        <v>60</v>
      </c>
      <c r="B29" s="35" t="s">
        <v>61</v>
      </c>
      <c r="C29" s="66" t="s">
        <v>62</v>
      </c>
      <c r="D29" s="83">
        <v>1500</v>
      </c>
      <c r="E29" s="44">
        <v>43800</v>
      </c>
      <c r="F29" s="87">
        <v>780</v>
      </c>
      <c r="G29" s="66">
        <v>29000</v>
      </c>
      <c r="H29" s="65">
        <v>11400</v>
      </c>
      <c r="I29" s="65"/>
      <c r="J29" s="44">
        <f t="shared" si="0"/>
        <v>40400</v>
      </c>
      <c r="K29" s="57">
        <v>1050</v>
      </c>
      <c r="L29" s="57">
        <f>D29+E29-F29</f>
        <v>44520</v>
      </c>
      <c r="M29" s="57">
        <f>F29+J29-K29</f>
        <v>40130</v>
      </c>
      <c r="N29" s="57"/>
      <c r="O29" s="46">
        <f t="shared" si="1"/>
        <v>-9.8607367475292002E-2</v>
      </c>
      <c r="P29" s="46">
        <f>((H29+G29)-E29)/E29</f>
        <v>-7.7625570776255703E-2</v>
      </c>
      <c r="Q29" s="60">
        <v>0.25</v>
      </c>
      <c r="R29" s="67">
        <f t="shared" si="2"/>
        <v>10032.5</v>
      </c>
      <c r="S29" s="67">
        <f t="shared" si="3"/>
        <v>8828.6</v>
      </c>
      <c r="T29" s="104">
        <f t="shared" si="4"/>
        <v>1203.8999999999996</v>
      </c>
      <c r="U29" s="91">
        <f>H29*Q29</f>
        <v>2850</v>
      </c>
      <c r="V29" s="31"/>
      <c r="W29" s="1" t="s">
        <v>60</v>
      </c>
      <c r="X29" s="1" t="s">
        <v>61</v>
      </c>
      <c r="Y29" s="1" t="s">
        <v>10</v>
      </c>
      <c r="Z29" s="24">
        <v>0.22</v>
      </c>
      <c r="AA29" s="22">
        <f>Q29-Z29</f>
        <v>0.03</v>
      </c>
      <c r="AB29" s="9">
        <f>AA29/Q29</f>
        <v>0.12</v>
      </c>
      <c r="AC29" s="95">
        <f t="shared" si="5"/>
        <v>342</v>
      </c>
      <c r="AD29" s="2"/>
    </row>
    <row r="30" spans="1:30" x14ac:dyDescent="0.2">
      <c r="A30" s="35" t="s">
        <v>63</v>
      </c>
      <c r="B30" s="35" t="s">
        <v>64</v>
      </c>
      <c r="C30" s="66" t="s">
        <v>8</v>
      </c>
      <c r="D30" s="83">
        <v>15610</v>
      </c>
      <c r="E30" s="44">
        <v>175500</v>
      </c>
      <c r="F30" s="87">
        <v>48180</v>
      </c>
      <c r="G30" s="66">
        <v>166000</v>
      </c>
      <c r="H30" s="65">
        <v>76000</v>
      </c>
      <c r="I30" s="65"/>
      <c r="J30" s="44">
        <f t="shared" si="0"/>
        <v>242000</v>
      </c>
      <c r="K30" s="57">
        <v>16000</v>
      </c>
      <c r="L30" s="57">
        <f>D30+E30-F30</f>
        <v>142930</v>
      </c>
      <c r="M30" s="57">
        <f>F30+J30-K30</f>
        <v>274180</v>
      </c>
      <c r="N30" s="57"/>
      <c r="O30" s="46">
        <f t="shared" si="1"/>
        <v>0.91828167634506397</v>
      </c>
      <c r="P30" s="46">
        <f>((H30+G30)-E30)/E30</f>
        <v>0.37891737891737892</v>
      </c>
      <c r="Q30" s="60">
        <v>3.117E-2</v>
      </c>
      <c r="R30" s="67">
        <f t="shared" si="2"/>
        <v>8546.1905999999999</v>
      </c>
      <c r="S30" s="67">
        <f t="shared" si="3"/>
        <v>5620.6900000000005</v>
      </c>
      <c r="T30" s="104">
        <f t="shared" si="4"/>
        <v>2925.5005999999994</v>
      </c>
      <c r="U30" s="91">
        <f>H30*Q30</f>
        <v>2368.92</v>
      </c>
      <c r="V30" s="31"/>
      <c r="W30" s="1" t="s">
        <v>63</v>
      </c>
      <c r="X30" s="1" t="s">
        <v>64</v>
      </c>
      <c r="Y30" s="1" t="s">
        <v>10</v>
      </c>
      <c r="Z30" s="24">
        <v>2.0500000000000001E-2</v>
      </c>
      <c r="AA30" s="22">
        <f>Q30-Z30</f>
        <v>1.0669999999999999E-2</v>
      </c>
      <c r="AB30" s="9">
        <f>AA30/Q30</f>
        <v>0.34231632980429899</v>
      </c>
      <c r="AC30" s="95">
        <f t="shared" si="5"/>
        <v>810.92</v>
      </c>
      <c r="AD30" s="2"/>
    </row>
    <row r="31" spans="1:30" x14ac:dyDescent="0.2">
      <c r="A31" s="35" t="s">
        <v>65</v>
      </c>
      <c r="B31" s="35" t="s">
        <v>66</v>
      </c>
      <c r="C31" s="66" t="s">
        <v>8</v>
      </c>
      <c r="D31" s="83">
        <v>12450</v>
      </c>
      <c r="E31" s="44">
        <v>109500</v>
      </c>
      <c r="F31" s="87">
        <v>13650</v>
      </c>
      <c r="G31" s="66">
        <v>103500</v>
      </c>
      <c r="H31" s="65">
        <v>56000</v>
      </c>
      <c r="I31" s="65"/>
      <c r="J31" s="44">
        <f t="shared" si="0"/>
        <v>159500</v>
      </c>
      <c r="K31" s="57">
        <v>12500</v>
      </c>
      <c r="L31" s="57">
        <f>D31+E31-F31</f>
        <v>108300</v>
      </c>
      <c r="M31" s="57">
        <f>F31+J31-K31</f>
        <v>160650</v>
      </c>
      <c r="N31" s="57"/>
      <c r="O31" s="46">
        <f t="shared" si="1"/>
        <v>0.48337950138504154</v>
      </c>
      <c r="P31" s="46">
        <f>((H31+G31)-E31)/E31</f>
        <v>0.45662100456621002</v>
      </c>
      <c r="Q31" s="60">
        <v>3.117E-2</v>
      </c>
      <c r="R31" s="67">
        <f t="shared" si="2"/>
        <v>5007.4605000000001</v>
      </c>
      <c r="S31" s="67">
        <f t="shared" si="3"/>
        <v>3293.3250000000003</v>
      </c>
      <c r="T31" s="104">
        <f t="shared" si="4"/>
        <v>1714.1354999999999</v>
      </c>
      <c r="U31" s="91">
        <f>H31*Q31</f>
        <v>1745.52</v>
      </c>
      <c r="V31" s="31"/>
      <c r="W31" s="1" t="s">
        <v>65</v>
      </c>
      <c r="X31" s="1" t="s">
        <v>66</v>
      </c>
      <c r="Y31" s="1" t="s">
        <v>10</v>
      </c>
      <c r="Z31" s="24">
        <v>2.0500000000000001E-2</v>
      </c>
      <c r="AA31" s="22">
        <f>Q31-Z31</f>
        <v>1.0669999999999999E-2</v>
      </c>
      <c r="AB31" s="9">
        <f>AA31/Q31</f>
        <v>0.34231632980429899</v>
      </c>
      <c r="AC31" s="95">
        <f t="shared" si="5"/>
        <v>597.52</v>
      </c>
      <c r="AD31" s="2"/>
    </row>
    <row r="32" spans="1:30" x14ac:dyDescent="0.2">
      <c r="A32" s="35"/>
      <c r="B32" s="35"/>
      <c r="C32" s="66"/>
      <c r="D32" s="83"/>
      <c r="E32" s="44"/>
      <c r="F32" s="87"/>
      <c r="G32" s="66"/>
      <c r="H32" s="65"/>
      <c r="I32" s="65"/>
      <c r="J32" s="44"/>
      <c r="K32" s="57"/>
      <c r="L32" s="57"/>
      <c r="M32" s="57"/>
      <c r="N32" s="57"/>
      <c r="O32" s="46"/>
      <c r="P32" s="46"/>
      <c r="Q32" s="60"/>
      <c r="R32" s="67"/>
      <c r="S32" s="67"/>
      <c r="T32" s="104"/>
      <c r="U32" s="91"/>
      <c r="V32" s="31"/>
      <c r="W32" s="1"/>
      <c r="X32" s="1"/>
      <c r="Y32" s="1"/>
      <c r="Z32" s="24"/>
      <c r="AA32" s="22"/>
      <c r="AB32" s="9"/>
      <c r="AC32" s="96">
        <f t="shared" si="5"/>
        <v>0</v>
      </c>
      <c r="AD32" s="4">
        <f>SUM(AC27:AC31)</f>
        <v>7126.4400000000005</v>
      </c>
    </row>
    <row r="33" spans="1:30" x14ac:dyDescent="0.2">
      <c r="A33" s="35">
        <v>11018003</v>
      </c>
      <c r="B33" s="35" t="s">
        <v>67</v>
      </c>
      <c r="C33" s="66" t="s">
        <v>50</v>
      </c>
      <c r="D33" s="83">
        <v>463</v>
      </c>
      <c r="E33" s="44">
        <v>550</v>
      </c>
      <c r="F33" s="87">
        <v>185</v>
      </c>
      <c r="G33" s="66">
        <v>300</v>
      </c>
      <c r="H33" s="65">
        <v>200</v>
      </c>
      <c r="I33" s="65"/>
      <c r="J33" s="44">
        <f t="shared" si="0"/>
        <v>500</v>
      </c>
      <c r="K33" s="57">
        <v>40</v>
      </c>
      <c r="L33" s="57">
        <f>D33+E33-F33</f>
        <v>828</v>
      </c>
      <c r="M33" s="57">
        <f>F33+J33-K33</f>
        <v>645</v>
      </c>
      <c r="N33" s="57"/>
      <c r="O33" s="46">
        <f t="shared" si="1"/>
        <v>-0.2210144927536232</v>
      </c>
      <c r="P33" s="46">
        <f>((H33+G33)-E33)/E33</f>
        <v>-9.0909090909090912E-2</v>
      </c>
      <c r="Q33" s="60">
        <v>1.105</v>
      </c>
      <c r="R33" s="67">
        <f t="shared" si="2"/>
        <v>712.72500000000002</v>
      </c>
      <c r="S33" s="67">
        <f t="shared" si="3"/>
        <v>496.65000000000003</v>
      </c>
      <c r="T33" s="104">
        <f t="shared" si="4"/>
        <v>216.07499999999999</v>
      </c>
      <c r="U33" s="91">
        <f>H33*Q33</f>
        <v>221</v>
      </c>
      <c r="V33" s="31"/>
      <c r="W33" s="1">
        <v>11018003</v>
      </c>
      <c r="X33" s="1" t="s">
        <v>67</v>
      </c>
      <c r="Y33" s="1" t="s">
        <v>68</v>
      </c>
      <c r="Z33" s="24">
        <v>0.77</v>
      </c>
      <c r="AA33" s="22">
        <f>Q33-Z33</f>
        <v>0.33499999999999996</v>
      </c>
      <c r="AB33" s="9">
        <f>AA33/Q33</f>
        <v>0.30316742081447962</v>
      </c>
      <c r="AC33" s="95">
        <f t="shared" si="5"/>
        <v>67</v>
      </c>
      <c r="AD33" s="4"/>
    </row>
    <row r="34" spans="1:30" x14ac:dyDescent="0.2">
      <c r="A34" s="3" t="s">
        <v>69</v>
      </c>
      <c r="B34" s="3" t="s">
        <v>70</v>
      </c>
      <c r="C34" s="66" t="s">
        <v>50</v>
      </c>
      <c r="D34" s="83">
        <v>760</v>
      </c>
      <c r="E34" s="44">
        <v>6700</v>
      </c>
      <c r="F34" s="87">
        <v>730</v>
      </c>
      <c r="G34" s="66">
        <v>2000</v>
      </c>
      <c r="H34" s="65">
        <v>4600</v>
      </c>
      <c r="I34" s="65"/>
      <c r="J34" s="44">
        <f t="shared" si="0"/>
        <v>6600</v>
      </c>
      <c r="K34" s="57">
        <v>920</v>
      </c>
      <c r="L34" s="57">
        <f>D34+E34-F34</f>
        <v>6730</v>
      </c>
      <c r="M34" s="57">
        <f>F34+J34-K34</f>
        <v>6410</v>
      </c>
      <c r="N34" s="57"/>
      <c r="O34" s="46">
        <f t="shared" si="1"/>
        <v>-4.7548291233283801E-2</v>
      </c>
      <c r="P34" s="46">
        <f>((H34+G34)-E34)/E34</f>
        <v>-1.4925373134328358E-2</v>
      </c>
      <c r="Q34" s="60">
        <v>0.81940000000000002</v>
      </c>
      <c r="R34" s="67">
        <f t="shared" si="2"/>
        <v>5252.3540000000003</v>
      </c>
      <c r="S34" s="67">
        <f t="shared" si="3"/>
        <v>2628.1</v>
      </c>
      <c r="T34" s="104">
        <f t="shared" si="4"/>
        <v>2624.2540000000004</v>
      </c>
      <c r="U34" s="91">
        <f>H34*Q34</f>
        <v>3769.2400000000002</v>
      </c>
      <c r="V34" s="31"/>
      <c r="W34" s="3" t="s">
        <v>69</v>
      </c>
      <c r="X34" s="131" t="s">
        <v>70</v>
      </c>
      <c r="Y34" s="1" t="s">
        <v>158</v>
      </c>
      <c r="Z34" s="24">
        <v>0.41</v>
      </c>
      <c r="AA34" s="22">
        <f>Q34-Z34</f>
        <v>0.40940000000000004</v>
      </c>
      <c r="AB34" s="9">
        <f>AA34/Q34</f>
        <v>0.49963387844764467</v>
      </c>
      <c r="AC34" s="95">
        <f t="shared" si="5"/>
        <v>1883.2400000000002</v>
      </c>
      <c r="AD34" s="2"/>
    </row>
    <row r="35" spans="1:30" x14ac:dyDescent="0.2">
      <c r="A35" s="35"/>
      <c r="B35" s="35"/>
      <c r="C35" s="66"/>
      <c r="D35" s="83"/>
      <c r="E35" s="44"/>
      <c r="F35" s="87"/>
      <c r="G35" s="66"/>
      <c r="H35" s="65"/>
      <c r="I35" s="65"/>
      <c r="J35" s="44"/>
      <c r="K35" s="57"/>
      <c r="L35" s="57"/>
      <c r="M35" s="57"/>
      <c r="N35" s="57"/>
      <c r="O35" s="46"/>
      <c r="P35" s="46"/>
      <c r="Q35" s="60"/>
      <c r="R35" s="67"/>
      <c r="S35" s="67"/>
      <c r="T35" s="104"/>
      <c r="U35" s="91"/>
      <c r="V35" s="31"/>
      <c r="W35" s="1"/>
      <c r="X35" s="1"/>
      <c r="Y35" s="1"/>
      <c r="Z35" s="24"/>
      <c r="AA35" s="22"/>
      <c r="AB35" s="9"/>
      <c r="AC35" s="96">
        <f t="shared" si="5"/>
        <v>0</v>
      </c>
      <c r="AD35" s="4">
        <f>SUM(AC33:AC34)</f>
        <v>1950.2400000000002</v>
      </c>
    </row>
    <row r="36" spans="1:30" x14ac:dyDescent="0.2">
      <c r="A36" s="35" t="s">
        <v>71</v>
      </c>
      <c r="B36" s="35" t="s">
        <v>72</v>
      </c>
      <c r="C36" s="78" t="s">
        <v>73</v>
      </c>
      <c r="D36" s="83"/>
      <c r="E36" s="44">
        <v>510</v>
      </c>
      <c r="F36" s="87"/>
      <c r="G36" s="65">
        <v>180</v>
      </c>
      <c r="H36" s="65">
        <v>64</v>
      </c>
      <c r="I36" s="65"/>
      <c r="J36" s="44">
        <f t="shared" si="0"/>
        <v>244</v>
      </c>
      <c r="K36" s="57"/>
      <c r="L36" s="57">
        <f>D36+E36-F36</f>
        <v>510</v>
      </c>
      <c r="M36" s="57">
        <f>G36+H36</f>
        <v>244</v>
      </c>
      <c r="N36" s="57"/>
      <c r="O36" s="46">
        <f t="shared" si="1"/>
        <v>-0.52156862745098043</v>
      </c>
      <c r="P36" s="46">
        <f>((H36+G36)-E36)/E36</f>
        <v>-0.52156862745098043</v>
      </c>
      <c r="Q36" s="60">
        <v>2.5</v>
      </c>
      <c r="R36" s="67">
        <f t="shared" si="2"/>
        <v>610</v>
      </c>
      <c r="S36" s="67">
        <f t="shared" si="3"/>
        <v>457.5</v>
      </c>
      <c r="T36" s="104">
        <f t="shared" si="4"/>
        <v>152.5</v>
      </c>
      <c r="U36" s="91">
        <f>H36*Q36</f>
        <v>160</v>
      </c>
      <c r="V36" s="31"/>
      <c r="W36" s="1">
        <v>16223021</v>
      </c>
      <c r="X36" s="1" t="s">
        <v>74</v>
      </c>
      <c r="Y36" s="1" t="s">
        <v>75</v>
      </c>
      <c r="Z36" s="24">
        <v>1.875</v>
      </c>
      <c r="AA36" s="22">
        <f>Q36-Z36</f>
        <v>0.625</v>
      </c>
      <c r="AB36" s="9">
        <f>AA36/Q36</f>
        <v>0.25</v>
      </c>
      <c r="AC36" s="95">
        <f t="shared" si="5"/>
        <v>40</v>
      </c>
      <c r="AD36" s="2"/>
    </row>
    <row r="37" spans="1:30" x14ac:dyDescent="0.2">
      <c r="A37" s="35"/>
      <c r="B37" s="35"/>
      <c r="C37" s="66"/>
      <c r="D37" s="83"/>
      <c r="E37" s="44"/>
      <c r="F37" s="87"/>
      <c r="G37" s="66"/>
      <c r="H37" s="65"/>
      <c r="I37" s="65"/>
      <c r="J37" s="44"/>
      <c r="K37" s="57"/>
      <c r="L37" s="57"/>
      <c r="M37" s="57"/>
      <c r="N37" s="57"/>
      <c r="O37" s="46"/>
      <c r="P37" s="46"/>
      <c r="Q37" s="60"/>
      <c r="R37" s="67"/>
      <c r="S37" s="67"/>
      <c r="T37" s="104"/>
      <c r="U37" s="91"/>
      <c r="V37" s="31"/>
      <c r="W37" s="1"/>
      <c r="X37" s="1"/>
      <c r="Y37" s="1"/>
      <c r="Z37" s="24"/>
      <c r="AA37" s="22"/>
      <c r="AB37" s="9"/>
      <c r="AC37" s="96">
        <f t="shared" si="5"/>
        <v>0</v>
      </c>
      <c r="AD37" s="4">
        <f>SUM(AC36)</f>
        <v>40</v>
      </c>
    </row>
    <row r="38" spans="1:30" ht="18.75" customHeight="1" x14ac:dyDescent="0.2">
      <c r="A38" s="3" t="s">
        <v>76</v>
      </c>
      <c r="B38" s="3" t="s">
        <v>77</v>
      </c>
      <c r="C38" s="185" t="s">
        <v>78</v>
      </c>
      <c r="D38" s="84"/>
      <c r="E38" s="44">
        <v>418</v>
      </c>
      <c r="F38" s="87"/>
      <c r="G38" s="65">
        <v>98</v>
      </c>
      <c r="H38" s="65">
        <v>342</v>
      </c>
      <c r="I38" s="65"/>
      <c r="J38" s="44">
        <f t="shared" si="0"/>
        <v>440</v>
      </c>
      <c r="K38" s="57"/>
      <c r="L38" s="57">
        <f>D38+E38-F38</f>
        <v>418</v>
      </c>
      <c r="M38" s="57">
        <f>F38+J38-K38</f>
        <v>440</v>
      </c>
      <c r="N38" s="57"/>
      <c r="O38" s="46">
        <f t="shared" si="1"/>
        <v>5.2631578947368418E-2</v>
      </c>
      <c r="P38" s="46">
        <f>((H38+G38)-E38)/E38</f>
        <v>5.2631578947368418E-2</v>
      </c>
      <c r="Q38" s="60">
        <v>97.93</v>
      </c>
      <c r="R38" s="67">
        <f t="shared" si="2"/>
        <v>43089.200000000004</v>
      </c>
      <c r="S38" s="67">
        <f t="shared" si="3"/>
        <v>44814</v>
      </c>
      <c r="T38" s="104">
        <f t="shared" si="4"/>
        <v>-1724.7999999999956</v>
      </c>
      <c r="U38" s="91">
        <f>H38*Q38</f>
        <v>33492.060000000005</v>
      </c>
      <c r="V38" s="31"/>
      <c r="W38" s="5"/>
      <c r="X38" s="182" t="s">
        <v>159</v>
      </c>
      <c r="Y38" s="3" t="s">
        <v>78</v>
      </c>
      <c r="Z38" s="25">
        <v>101.85</v>
      </c>
      <c r="AA38" s="105">
        <f>Z38-Q38</f>
        <v>3.9199999999999875</v>
      </c>
      <c r="AB38" s="106">
        <f t="shared" ref="AB38:AB40" si="6">AA38/Q38</f>
        <v>4.0028591851322244E-2</v>
      </c>
      <c r="AC38" s="171">
        <v>10247.030000000001</v>
      </c>
      <c r="AD38" s="174" t="s">
        <v>176</v>
      </c>
    </row>
    <row r="39" spans="1:30" ht="20.25" customHeight="1" x14ac:dyDescent="0.2">
      <c r="A39" s="3" t="s">
        <v>79</v>
      </c>
      <c r="B39" s="3" t="s">
        <v>80</v>
      </c>
      <c r="C39" s="186"/>
      <c r="D39" s="85"/>
      <c r="E39" s="44">
        <v>148</v>
      </c>
      <c r="F39" s="87"/>
      <c r="G39" s="65">
        <v>58</v>
      </c>
      <c r="H39" s="65">
        <v>142</v>
      </c>
      <c r="I39" s="65"/>
      <c r="J39" s="44">
        <f t="shared" si="0"/>
        <v>200</v>
      </c>
      <c r="K39" s="57"/>
      <c r="L39" s="57">
        <f>D39+E39-F39</f>
        <v>148</v>
      </c>
      <c r="M39" s="57">
        <f>F39+J39-K39</f>
        <v>200</v>
      </c>
      <c r="N39" s="57"/>
      <c r="O39" s="46">
        <f t="shared" si="1"/>
        <v>0.35135135135135137</v>
      </c>
      <c r="P39" s="46">
        <f>((H39+G39)-E39)/E39</f>
        <v>0.35135135135135137</v>
      </c>
      <c r="Q39" s="60">
        <v>88.71</v>
      </c>
      <c r="R39" s="67">
        <f t="shared" si="2"/>
        <v>17742</v>
      </c>
      <c r="S39" s="67">
        <f t="shared" si="3"/>
        <v>18466</v>
      </c>
      <c r="T39" s="104">
        <f t="shared" si="4"/>
        <v>-724</v>
      </c>
      <c r="U39" s="91">
        <f>H39*Q39</f>
        <v>12596.82</v>
      </c>
      <c r="V39" s="31"/>
      <c r="W39" s="5"/>
      <c r="X39" s="183"/>
      <c r="Y39" s="3" t="s">
        <v>78</v>
      </c>
      <c r="Z39" s="25">
        <v>92.33</v>
      </c>
      <c r="AA39" s="105">
        <f t="shared" ref="AA39:AA40" si="7">Z39-Q39</f>
        <v>3.6200000000000045</v>
      </c>
      <c r="AB39" s="106">
        <f t="shared" si="6"/>
        <v>4.0807124337729733E-2</v>
      </c>
      <c r="AC39" s="172"/>
      <c r="AD39" s="175"/>
    </row>
    <row r="40" spans="1:30" ht="18.75" customHeight="1" x14ac:dyDescent="0.2">
      <c r="A40" s="3" t="s">
        <v>81</v>
      </c>
      <c r="B40" s="3" t="s">
        <v>82</v>
      </c>
      <c r="C40" s="187"/>
      <c r="D40" s="86"/>
      <c r="E40" s="44">
        <v>190</v>
      </c>
      <c r="F40" s="87"/>
      <c r="G40" s="65">
        <v>51</v>
      </c>
      <c r="H40" s="65">
        <v>159</v>
      </c>
      <c r="I40" s="65"/>
      <c r="J40" s="44">
        <f t="shared" si="0"/>
        <v>210</v>
      </c>
      <c r="K40" s="57"/>
      <c r="L40" s="57">
        <f>D40+E40-F40</f>
        <v>190</v>
      </c>
      <c r="M40" s="57">
        <f>F40+J40-K40</f>
        <v>210</v>
      </c>
      <c r="N40" s="57"/>
      <c r="O40" s="46">
        <f t="shared" si="1"/>
        <v>0.10526315789473684</v>
      </c>
      <c r="P40" s="46">
        <f>((H40+G40)-E40)/E40</f>
        <v>0.10526315789473684</v>
      </c>
      <c r="Q40" s="60">
        <v>42.9</v>
      </c>
      <c r="R40" s="67">
        <f t="shared" si="2"/>
        <v>9009</v>
      </c>
      <c r="S40" s="67">
        <f t="shared" si="3"/>
        <v>9370.1999999999989</v>
      </c>
      <c r="T40" s="104">
        <f t="shared" si="4"/>
        <v>-361.19999999999891</v>
      </c>
      <c r="U40" s="91">
        <f>H40*Q40</f>
        <v>6821.0999999999995</v>
      </c>
      <c r="V40" s="31"/>
      <c r="W40" s="5"/>
      <c r="X40" s="184"/>
      <c r="Y40" s="3" t="s">
        <v>78</v>
      </c>
      <c r="Z40" s="25">
        <v>44.62</v>
      </c>
      <c r="AA40" s="105">
        <f t="shared" si="7"/>
        <v>1.7199999999999989</v>
      </c>
      <c r="AB40" s="106">
        <f t="shared" si="6"/>
        <v>4.0093240093240071E-2</v>
      </c>
      <c r="AC40" s="173"/>
      <c r="AD40" s="176"/>
    </row>
    <row r="41" spans="1:30" x14ac:dyDescent="0.2">
      <c r="A41" s="35"/>
      <c r="B41" s="35"/>
      <c r="C41" s="66"/>
      <c r="D41" s="83"/>
      <c r="E41" s="44"/>
      <c r="F41" s="87"/>
      <c r="G41" s="66"/>
      <c r="H41" s="65"/>
      <c r="I41" s="65"/>
      <c r="J41" s="44"/>
      <c r="K41" s="57"/>
      <c r="L41" s="57"/>
      <c r="M41" s="57"/>
      <c r="N41" s="57"/>
      <c r="O41" s="46"/>
      <c r="P41" s="46"/>
      <c r="Q41" s="60"/>
      <c r="R41" s="67"/>
      <c r="S41" s="67"/>
      <c r="T41" s="104"/>
      <c r="U41" s="91"/>
      <c r="V41" s="31"/>
      <c r="W41" s="1"/>
      <c r="X41" s="1"/>
      <c r="Y41" s="1"/>
      <c r="Z41" s="24"/>
      <c r="AA41" s="22"/>
      <c r="AB41" s="9"/>
      <c r="AC41" s="96" t="s">
        <v>15</v>
      </c>
      <c r="AD41" s="4">
        <f>SUM(AC38:AC40)</f>
        <v>10247.030000000001</v>
      </c>
    </row>
    <row r="42" spans="1:30" s="34" customFormat="1" x14ac:dyDescent="0.2">
      <c r="A42" s="35" t="s">
        <v>83</v>
      </c>
      <c r="B42" s="35" t="s">
        <v>84</v>
      </c>
      <c r="C42" s="66" t="s">
        <v>85</v>
      </c>
      <c r="D42" s="83">
        <v>6190</v>
      </c>
      <c r="E42" s="44">
        <v>13600</v>
      </c>
      <c r="F42" s="87">
        <v>3750</v>
      </c>
      <c r="G42" s="66">
        <v>7200</v>
      </c>
      <c r="H42" s="65">
        <v>11000</v>
      </c>
      <c r="I42" s="65"/>
      <c r="J42" s="44">
        <f t="shared" si="0"/>
        <v>18200</v>
      </c>
      <c r="K42" s="57">
        <v>6894</v>
      </c>
      <c r="L42" s="57">
        <f t="shared" ref="L42:L49" si="8">D42+E42-F42</f>
        <v>16040</v>
      </c>
      <c r="M42" s="57">
        <f t="shared" ref="M42:M49" si="9">F42+J42-K42</f>
        <v>15056</v>
      </c>
      <c r="N42" s="57"/>
      <c r="O42" s="46">
        <f t="shared" si="1"/>
        <v>-6.1346633416458851E-2</v>
      </c>
      <c r="P42" s="46">
        <f t="shared" ref="P42:P49" si="10">((H42+G42)-E42)/E42</f>
        <v>0.33823529411764708</v>
      </c>
      <c r="Q42" s="60">
        <v>0.42</v>
      </c>
      <c r="R42" s="67">
        <f t="shared" si="2"/>
        <v>6323.5199999999995</v>
      </c>
      <c r="S42" s="67">
        <f t="shared" si="3"/>
        <v>2258.4</v>
      </c>
      <c r="T42" s="104">
        <f t="shared" si="4"/>
        <v>4065.1199999999994</v>
      </c>
      <c r="U42" s="91">
        <f t="shared" ref="U42:U49" si="11">H42*Q42</f>
        <v>4620</v>
      </c>
      <c r="V42" s="36"/>
      <c r="W42" s="35">
        <v>11016037</v>
      </c>
      <c r="X42" s="35" t="s">
        <v>86</v>
      </c>
      <c r="Y42" s="35" t="s">
        <v>87</v>
      </c>
      <c r="Z42" s="38">
        <v>0.15</v>
      </c>
      <c r="AA42" s="69">
        <f>Q42-(Z42-(Z42*0.14))</f>
        <v>0.29099999999999998</v>
      </c>
      <c r="AB42" s="40">
        <f t="shared" ref="AB42:AB49" si="12">AA42/Q42</f>
        <v>0.69285714285714284</v>
      </c>
      <c r="AC42" s="97">
        <f t="shared" ref="AC42:AC97" si="13">(H42+I42)*AA42</f>
        <v>3201</v>
      </c>
      <c r="AD42" s="70"/>
    </row>
    <row r="43" spans="1:30" s="34" customFormat="1" x14ac:dyDescent="0.2">
      <c r="A43" s="35" t="s">
        <v>88</v>
      </c>
      <c r="B43" s="35" t="s">
        <v>89</v>
      </c>
      <c r="C43" s="66" t="s">
        <v>85</v>
      </c>
      <c r="D43" s="83">
        <v>5500</v>
      </c>
      <c r="E43" s="44">
        <v>22800</v>
      </c>
      <c r="F43" s="87">
        <v>2520</v>
      </c>
      <c r="G43" s="66">
        <v>13600</v>
      </c>
      <c r="H43" s="65">
        <v>19000</v>
      </c>
      <c r="I43" s="65"/>
      <c r="J43" s="44">
        <f t="shared" si="0"/>
        <v>32600</v>
      </c>
      <c r="K43" s="57">
        <v>8650</v>
      </c>
      <c r="L43" s="57">
        <f t="shared" si="8"/>
        <v>25780</v>
      </c>
      <c r="M43" s="57">
        <f t="shared" si="9"/>
        <v>26470</v>
      </c>
      <c r="N43" s="57"/>
      <c r="O43" s="46">
        <f t="shared" si="1"/>
        <v>2.6764934057408846E-2</v>
      </c>
      <c r="P43" s="46">
        <f t="shared" si="10"/>
        <v>0.42982456140350878</v>
      </c>
      <c r="Q43" s="60">
        <v>0.42</v>
      </c>
      <c r="R43" s="67">
        <f t="shared" si="2"/>
        <v>11117.4</v>
      </c>
      <c r="S43" s="67">
        <f t="shared" si="3"/>
        <v>3970.5</v>
      </c>
      <c r="T43" s="104">
        <f t="shared" si="4"/>
        <v>7146.9</v>
      </c>
      <c r="U43" s="91">
        <f t="shared" si="11"/>
        <v>7980</v>
      </c>
      <c r="V43" s="36"/>
      <c r="W43" s="35">
        <v>11016038</v>
      </c>
      <c r="X43" s="35" t="s">
        <v>90</v>
      </c>
      <c r="Y43" s="35" t="s">
        <v>87</v>
      </c>
      <c r="Z43" s="38">
        <v>0.15</v>
      </c>
      <c r="AA43" s="69">
        <f>Q43-(Z43-(Z43*0.14))</f>
        <v>0.29099999999999998</v>
      </c>
      <c r="AB43" s="40">
        <f t="shared" si="12"/>
        <v>0.69285714285714284</v>
      </c>
      <c r="AC43" s="97">
        <f t="shared" si="13"/>
        <v>5529</v>
      </c>
      <c r="AD43" s="70"/>
    </row>
    <row r="44" spans="1:30" s="168" customFormat="1" x14ac:dyDescent="0.2">
      <c r="A44" s="159" t="s">
        <v>91</v>
      </c>
      <c r="B44" s="159" t="s">
        <v>92</v>
      </c>
      <c r="C44" s="160" t="s">
        <v>87</v>
      </c>
      <c r="D44" s="161">
        <v>6900</v>
      </c>
      <c r="E44" s="146">
        <v>99600</v>
      </c>
      <c r="F44" s="162">
        <v>10300</v>
      </c>
      <c r="G44" s="160">
        <v>35440</v>
      </c>
      <c r="H44" s="163">
        <v>50500</v>
      </c>
      <c r="I44" s="163"/>
      <c r="J44" s="146">
        <f t="shared" si="0"/>
        <v>85940</v>
      </c>
      <c r="K44" s="147">
        <v>4847</v>
      </c>
      <c r="L44" s="147">
        <f t="shared" si="8"/>
        <v>96200</v>
      </c>
      <c r="M44" s="147">
        <f t="shared" si="9"/>
        <v>91393</v>
      </c>
      <c r="N44" s="147"/>
      <c r="O44" s="148">
        <f t="shared" si="1"/>
        <v>-4.9968814968814966E-2</v>
      </c>
      <c r="P44" s="148">
        <f t="shared" si="10"/>
        <v>-0.13714859437751004</v>
      </c>
      <c r="Q44" s="164">
        <v>0.2</v>
      </c>
      <c r="R44" s="149">
        <f t="shared" si="2"/>
        <v>18278.600000000002</v>
      </c>
      <c r="S44" s="149">
        <f t="shared" si="3"/>
        <v>6397.51</v>
      </c>
      <c r="T44" s="150">
        <f t="shared" si="4"/>
        <v>11881.090000000002</v>
      </c>
      <c r="U44" s="149">
        <f t="shared" si="11"/>
        <v>10100</v>
      </c>
      <c r="V44" s="149"/>
      <c r="W44" s="159" t="s">
        <v>91</v>
      </c>
      <c r="X44" s="159" t="s">
        <v>92</v>
      </c>
      <c r="Y44" s="159" t="s">
        <v>87</v>
      </c>
      <c r="Z44" s="165">
        <v>7.0000000000000007E-2</v>
      </c>
      <c r="AA44" s="166">
        <f t="shared" ref="AA44:AA49" si="14">Q44-Z44</f>
        <v>0.13</v>
      </c>
      <c r="AB44" s="148">
        <f t="shared" si="12"/>
        <v>0.65</v>
      </c>
      <c r="AC44" s="167">
        <f t="shared" si="13"/>
        <v>6565</v>
      </c>
      <c r="AD44" s="159"/>
    </row>
    <row r="45" spans="1:30" x14ac:dyDescent="0.2">
      <c r="A45" s="35" t="s">
        <v>93</v>
      </c>
      <c r="B45" s="35" t="s">
        <v>94</v>
      </c>
      <c r="C45" s="66" t="s">
        <v>87</v>
      </c>
      <c r="D45" s="83">
        <v>204</v>
      </c>
      <c r="E45" s="44">
        <v>670</v>
      </c>
      <c r="F45" s="87">
        <v>100</v>
      </c>
      <c r="G45" s="66">
        <v>200</v>
      </c>
      <c r="H45" s="65">
        <v>420</v>
      </c>
      <c r="I45" s="65"/>
      <c r="J45" s="44">
        <f t="shared" si="0"/>
        <v>620</v>
      </c>
      <c r="K45" s="57">
        <v>150</v>
      </c>
      <c r="L45" s="57">
        <f t="shared" si="8"/>
        <v>774</v>
      </c>
      <c r="M45" s="57">
        <f t="shared" si="9"/>
        <v>570</v>
      </c>
      <c r="N45" s="57"/>
      <c r="O45" s="46">
        <f t="shared" si="1"/>
        <v>-0.26356589147286824</v>
      </c>
      <c r="P45" s="46">
        <f t="shared" si="10"/>
        <v>-7.4626865671641784E-2</v>
      </c>
      <c r="Q45" s="60">
        <v>2</v>
      </c>
      <c r="R45" s="67">
        <f t="shared" si="2"/>
        <v>1140</v>
      </c>
      <c r="S45" s="67">
        <f t="shared" si="3"/>
        <v>387.6</v>
      </c>
      <c r="T45" s="104">
        <f t="shared" si="4"/>
        <v>752.4</v>
      </c>
      <c r="U45" s="91">
        <f t="shared" si="11"/>
        <v>840</v>
      </c>
      <c r="V45" s="31"/>
      <c r="W45" s="1" t="s">
        <v>93</v>
      </c>
      <c r="X45" s="1" t="s">
        <v>94</v>
      </c>
      <c r="Y45" s="1" t="s">
        <v>10</v>
      </c>
      <c r="Z45" s="24">
        <v>0.68</v>
      </c>
      <c r="AA45" s="22">
        <f t="shared" si="14"/>
        <v>1.3199999999999998</v>
      </c>
      <c r="AB45" s="9">
        <f t="shared" si="12"/>
        <v>0.65999999999999992</v>
      </c>
      <c r="AC45" s="95">
        <f t="shared" si="13"/>
        <v>554.4</v>
      </c>
      <c r="AD45" s="2"/>
    </row>
    <row r="46" spans="1:30" x14ac:dyDescent="0.2">
      <c r="A46" s="35" t="s">
        <v>95</v>
      </c>
      <c r="B46" s="35" t="s">
        <v>96</v>
      </c>
      <c r="C46" s="66" t="s">
        <v>87</v>
      </c>
      <c r="D46" s="83">
        <v>115</v>
      </c>
      <c r="E46" s="44">
        <v>670</v>
      </c>
      <c r="F46" s="87">
        <v>142</v>
      </c>
      <c r="G46" s="66">
        <v>230</v>
      </c>
      <c r="H46" s="65">
        <v>230</v>
      </c>
      <c r="I46" s="65"/>
      <c r="J46" s="44">
        <f t="shared" si="0"/>
        <v>460</v>
      </c>
      <c r="K46" s="57">
        <v>137</v>
      </c>
      <c r="L46" s="57">
        <f t="shared" si="8"/>
        <v>643</v>
      </c>
      <c r="M46" s="57">
        <f t="shared" si="9"/>
        <v>465</v>
      </c>
      <c r="N46" s="57"/>
      <c r="O46" s="46">
        <f t="shared" si="1"/>
        <v>-0.27682737169517885</v>
      </c>
      <c r="P46" s="46">
        <f t="shared" si="10"/>
        <v>-0.31343283582089554</v>
      </c>
      <c r="Q46" s="60">
        <v>1.78</v>
      </c>
      <c r="R46" s="67">
        <f t="shared" si="2"/>
        <v>827.7</v>
      </c>
      <c r="S46" s="67">
        <f t="shared" si="3"/>
        <v>697.5</v>
      </c>
      <c r="T46" s="104">
        <f t="shared" si="4"/>
        <v>130.20000000000005</v>
      </c>
      <c r="U46" s="91">
        <f t="shared" si="11"/>
        <v>409.40000000000003</v>
      </c>
      <c r="V46" s="31"/>
      <c r="W46" s="1" t="s">
        <v>95</v>
      </c>
      <c r="X46" s="1" t="s">
        <v>96</v>
      </c>
      <c r="Y46" s="1" t="s">
        <v>87</v>
      </c>
      <c r="Z46" s="24">
        <v>1.5</v>
      </c>
      <c r="AA46" s="22">
        <f t="shared" si="14"/>
        <v>0.28000000000000003</v>
      </c>
      <c r="AB46" s="9">
        <f t="shared" si="12"/>
        <v>0.15730337078651688</v>
      </c>
      <c r="AC46" s="95">
        <f t="shared" si="13"/>
        <v>64.400000000000006</v>
      </c>
      <c r="AD46" s="2"/>
    </row>
    <row r="47" spans="1:30" x14ac:dyDescent="0.2">
      <c r="A47" s="35" t="s">
        <v>97</v>
      </c>
      <c r="B47" s="35" t="s">
        <v>98</v>
      </c>
      <c r="C47" s="66" t="s">
        <v>87</v>
      </c>
      <c r="D47" s="83">
        <v>85</v>
      </c>
      <c r="E47" s="44">
        <v>150</v>
      </c>
      <c r="F47" s="87">
        <v>68</v>
      </c>
      <c r="G47" s="66">
        <v>180</v>
      </c>
      <c r="H47" s="65">
        <v>200</v>
      </c>
      <c r="I47" s="65"/>
      <c r="J47" s="44">
        <f t="shared" si="0"/>
        <v>380</v>
      </c>
      <c r="K47" s="57">
        <v>96</v>
      </c>
      <c r="L47" s="57">
        <f t="shared" si="8"/>
        <v>167</v>
      </c>
      <c r="M47" s="57">
        <f t="shared" si="9"/>
        <v>352</v>
      </c>
      <c r="N47" s="57"/>
      <c r="O47" s="46">
        <f t="shared" si="1"/>
        <v>1.1077844311377245</v>
      </c>
      <c r="P47" s="46">
        <f t="shared" si="10"/>
        <v>1.5333333333333334</v>
      </c>
      <c r="Q47" s="60">
        <v>1.78</v>
      </c>
      <c r="R47" s="67">
        <f t="shared" si="2"/>
        <v>626.56000000000006</v>
      </c>
      <c r="S47" s="67">
        <f t="shared" si="3"/>
        <v>528</v>
      </c>
      <c r="T47" s="104">
        <f t="shared" si="4"/>
        <v>98.560000000000059</v>
      </c>
      <c r="U47" s="91">
        <f t="shared" si="11"/>
        <v>356</v>
      </c>
      <c r="V47" s="31"/>
      <c r="W47" s="1" t="s">
        <v>97</v>
      </c>
      <c r="X47" s="1" t="s">
        <v>146</v>
      </c>
      <c r="Y47" s="1" t="s">
        <v>87</v>
      </c>
      <c r="Z47" s="24">
        <v>1.5</v>
      </c>
      <c r="AA47" s="22">
        <f t="shared" si="14"/>
        <v>0.28000000000000003</v>
      </c>
      <c r="AB47" s="9">
        <f t="shared" si="12"/>
        <v>0.15730337078651688</v>
      </c>
      <c r="AC47" s="95">
        <f t="shared" si="13"/>
        <v>56.000000000000007</v>
      </c>
      <c r="AD47" s="2"/>
    </row>
    <row r="48" spans="1:30" x14ac:dyDescent="0.2">
      <c r="A48" s="35" t="s">
        <v>99</v>
      </c>
      <c r="B48" s="35" t="s">
        <v>100</v>
      </c>
      <c r="C48" s="66" t="s">
        <v>87</v>
      </c>
      <c r="D48" s="83">
        <v>39</v>
      </c>
      <c r="E48" s="44">
        <v>70</v>
      </c>
      <c r="F48" s="87">
        <v>56</v>
      </c>
      <c r="G48" s="66">
        <v>0</v>
      </c>
      <c r="H48" s="65">
        <v>60</v>
      </c>
      <c r="I48" s="65"/>
      <c r="J48" s="44">
        <f t="shared" si="0"/>
        <v>60</v>
      </c>
      <c r="K48" s="57">
        <v>6</v>
      </c>
      <c r="L48" s="57">
        <f t="shared" si="8"/>
        <v>53</v>
      </c>
      <c r="M48" s="57">
        <f t="shared" si="9"/>
        <v>110</v>
      </c>
      <c r="N48" s="57"/>
      <c r="O48" s="46">
        <f t="shared" si="1"/>
        <v>1.0754716981132075</v>
      </c>
      <c r="P48" s="46">
        <f t="shared" si="10"/>
        <v>-0.14285714285714285</v>
      </c>
      <c r="Q48" s="60">
        <v>1.78</v>
      </c>
      <c r="R48" s="67">
        <f t="shared" si="2"/>
        <v>195.8</v>
      </c>
      <c r="S48" s="67">
        <f t="shared" si="3"/>
        <v>165</v>
      </c>
      <c r="T48" s="104">
        <f t="shared" si="4"/>
        <v>30.800000000000011</v>
      </c>
      <c r="U48" s="91">
        <f t="shared" si="11"/>
        <v>106.8</v>
      </c>
      <c r="V48" s="31"/>
      <c r="W48" s="1" t="s">
        <v>99</v>
      </c>
      <c r="X48" s="1" t="s">
        <v>100</v>
      </c>
      <c r="Y48" s="1" t="s">
        <v>87</v>
      </c>
      <c r="Z48" s="24">
        <v>1.5</v>
      </c>
      <c r="AA48" s="22">
        <f t="shared" si="14"/>
        <v>0.28000000000000003</v>
      </c>
      <c r="AB48" s="9">
        <f t="shared" si="12"/>
        <v>0.15730337078651688</v>
      </c>
      <c r="AC48" s="95">
        <f t="shared" si="13"/>
        <v>16.8</v>
      </c>
      <c r="AD48" s="2"/>
    </row>
    <row r="49" spans="1:30" x14ac:dyDescent="0.2">
      <c r="A49" s="35" t="s">
        <v>101</v>
      </c>
      <c r="B49" s="35" t="s">
        <v>102</v>
      </c>
      <c r="C49" s="66" t="s">
        <v>87</v>
      </c>
      <c r="D49" s="83">
        <v>25</v>
      </c>
      <c r="E49" s="44">
        <v>70</v>
      </c>
      <c r="F49" s="87">
        <v>23</v>
      </c>
      <c r="G49" s="66">
        <v>40</v>
      </c>
      <c r="H49" s="65">
        <v>20</v>
      </c>
      <c r="I49" s="65"/>
      <c r="J49" s="44">
        <f t="shared" si="0"/>
        <v>60</v>
      </c>
      <c r="K49" s="57">
        <v>15</v>
      </c>
      <c r="L49" s="57">
        <f t="shared" si="8"/>
        <v>72</v>
      </c>
      <c r="M49" s="57">
        <f t="shared" si="9"/>
        <v>68</v>
      </c>
      <c r="N49" s="57"/>
      <c r="O49" s="46">
        <f t="shared" si="1"/>
        <v>-5.5555555555555552E-2</v>
      </c>
      <c r="P49" s="46">
        <f t="shared" si="10"/>
        <v>-0.14285714285714285</v>
      </c>
      <c r="Q49" s="60">
        <v>1.78</v>
      </c>
      <c r="R49" s="67">
        <f t="shared" si="2"/>
        <v>121.04</v>
      </c>
      <c r="S49" s="67">
        <f t="shared" si="3"/>
        <v>102</v>
      </c>
      <c r="T49" s="104">
        <f t="shared" si="4"/>
        <v>19.040000000000006</v>
      </c>
      <c r="U49" s="91">
        <f t="shared" si="11"/>
        <v>35.6</v>
      </c>
      <c r="V49" s="31"/>
      <c r="W49" s="1" t="s">
        <v>101</v>
      </c>
      <c r="X49" s="1" t="s">
        <v>102</v>
      </c>
      <c r="Y49" s="1" t="s">
        <v>87</v>
      </c>
      <c r="Z49" s="24">
        <v>1.5</v>
      </c>
      <c r="AA49" s="22">
        <f t="shared" si="14"/>
        <v>0.28000000000000003</v>
      </c>
      <c r="AB49" s="9">
        <f t="shared" si="12"/>
        <v>0.15730337078651688</v>
      </c>
      <c r="AC49" s="95">
        <f t="shared" si="13"/>
        <v>5.6000000000000005</v>
      </c>
      <c r="AD49" s="2"/>
    </row>
    <row r="50" spans="1:30" x14ac:dyDescent="0.2">
      <c r="A50" s="71"/>
      <c r="B50" s="71"/>
      <c r="C50" s="72"/>
      <c r="D50" s="81"/>
      <c r="E50" s="44"/>
      <c r="F50" s="81"/>
      <c r="G50" s="72"/>
      <c r="H50" s="74"/>
      <c r="I50" s="74"/>
      <c r="J50" s="44"/>
      <c r="K50" s="57"/>
      <c r="L50" s="57"/>
      <c r="M50" s="57"/>
      <c r="N50" s="57"/>
      <c r="O50" s="46"/>
      <c r="P50" s="46"/>
      <c r="Q50" s="75"/>
      <c r="R50" s="67"/>
      <c r="S50" s="67"/>
      <c r="T50" s="104"/>
      <c r="U50" s="91"/>
      <c r="V50" s="32"/>
      <c r="W50" s="6"/>
      <c r="Y50" s="6"/>
      <c r="Z50" s="26"/>
      <c r="AA50" s="23"/>
      <c r="AB50" s="9"/>
      <c r="AC50" s="96">
        <f t="shared" si="13"/>
        <v>0</v>
      </c>
      <c r="AD50" s="4">
        <f>SUM(AC42:AC49)</f>
        <v>15992.199999999999</v>
      </c>
    </row>
    <row r="51" spans="1:30" x14ac:dyDescent="0.2">
      <c r="A51" s="3" t="s">
        <v>103</v>
      </c>
      <c r="B51" s="3" t="s">
        <v>104</v>
      </c>
      <c r="C51" s="58" t="s">
        <v>105</v>
      </c>
      <c r="D51" s="83">
        <v>141</v>
      </c>
      <c r="E51" s="44">
        <v>1260</v>
      </c>
      <c r="F51" s="87">
        <v>74</v>
      </c>
      <c r="G51" s="66">
        <v>520</v>
      </c>
      <c r="H51" s="65">
        <v>680</v>
      </c>
      <c r="I51" s="65"/>
      <c r="J51" s="44">
        <f t="shared" si="0"/>
        <v>1200</v>
      </c>
      <c r="K51" s="57">
        <v>15</v>
      </c>
      <c r="L51" s="57">
        <f>D51+E51-F51</f>
        <v>1327</v>
      </c>
      <c r="M51" s="57">
        <f>F51+J51-K51</f>
        <v>1259</v>
      </c>
      <c r="N51" s="57"/>
      <c r="O51" s="46">
        <f t="shared" si="1"/>
        <v>-5.124340617935192E-2</v>
      </c>
      <c r="P51" s="46">
        <f>((H51+G51)-E51)/E51</f>
        <v>-4.7619047619047616E-2</v>
      </c>
      <c r="Q51" s="60">
        <v>3.76</v>
      </c>
      <c r="R51" s="67">
        <f t="shared" si="2"/>
        <v>4733.84</v>
      </c>
      <c r="S51" s="67">
        <f t="shared" si="3"/>
        <v>4255.42</v>
      </c>
      <c r="T51" s="104">
        <f t="shared" si="4"/>
        <v>478.42000000000007</v>
      </c>
      <c r="U51" s="91">
        <f>H51*Q51</f>
        <v>2556.7999999999997</v>
      </c>
      <c r="V51" s="31"/>
      <c r="W51" s="3" t="s">
        <v>103</v>
      </c>
      <c r="X51" s="131" t="s">
        <v>104</v>
      </c>
      <c r="Y51" s="3" t="s">
        <v>105</v>
      </c>
      <c r="Z51" s="24">
        <v>3.38</v>
      </c>
      <c r="AA51" s="22">
        <f>Q51-Z51</f>
        <v>0.37999999999999989</v>
      </c>
      <c r="AB51" s="9">
        <f>AA51/Q51</f>
        <v>0.10106382978723402</v>
      </c>
      <c r="AC51" s="95">
        <f t="shared" si="13"/>
        <v>258.39999999999992</v>
      </c>
      <c r="AD51" s="2"/>
    </row>
    <row r="52" spans="1:30" x14ac:dyDescent="0.2">
      <c r="A52" s="35" t="s">
        <v>106</v>
      </c>
      <c r="B52" s="35" t="s">
        <v>107</v>
      </c>
      <c r="C52" s="66" t="s">
        <v>105</v>
      </c>
      <c r="D52" s="83">
        <v>314</v>
      </c>
      <c r="E52" s="44">
        <v>6850</v>
      </c>
      <c r="F52" s="87">
        <v>319</v>
      </c>
      <c r="G52" s="68">
        <v>3250</v>
      </c>
      <c r="H52" s="65">
        <v>4000</v>
      </c>
      <c r="I52" s="65"/>
      <c r="J52" s="44">
        <f t="shared" si="0"/>
        <v>7250</v>
      </c>
      <c r="K52" s="57">
        <v>293</v>
      </c>
      <c r="L52" s="57">
        <f>D52+E52-F52</f>
        <v>6845</v>
      </c>
      <c r="M52" s="57">
        <f>F52+J52-K52</f>
        <v>7276</v>
      </c>
      <c r="N52" s="57"/>
      <c r="O52" s="46">
        <f t="shared" si="1"/>
        <v>6.2965668371073771E-2</v>
      </c>
      <c r="P52" s="46">
        <f>((H52+G52)-E52)/E52</f>
        <v>5.8394160583941604E-2</v>
      </c>
      <c r="Q52" s="60">
        <v>0.67400000000000004</v>
      </c>
      <c r="R52" s="67">
        <f t="shared" si="2"/>
        <v>4904.0240000000003</v>
      </c>
      <c r="S52" s="67">
        <f t="shared" si="3"/>
        <v>4438.3599999999997</v>
      </c>
      <c r="T52" s="104">
        <f t="shared" si="4"/>
        <v>465.66400000000067</v>
      </c>
      <c r="U52" s="91">
        <f>H52*Q52</f>
        <v>2696</v>
      </c>
      <c r="V52" s="31"/>
      <c r="W52" s="1" t="s">
        <v>106</v>
      </c>
      <c r="X52" s="1" t="s">
        <v>107</v>
      </c>
      <c r="Y52" s="1" t="s">
        <v>105</v>
      </c>
      <c r="Z52" s="24">
        <v>0.61</v>
      </c>
      <c r="AA52" s="22">
        <f>Q52-Z52</f>
        <v>6.4000000000000057E-2</v>
      </c>
      <c r="AB52" s="9">
        <f>AA52/Q52</f>
        <v>9.4955489614243396E-2</v>
      </c>
      <c r="AC52" s="95">
        <f t="shared" si="13"/>
        <v>256.00000000000023</v>
      </c>
      <c r="AD52" s="2"/>
    </row>
    <row r="53" spans="1:30" x14ac:dyDescent="0.2">
      <c r="A53" s="35" t="s">
        <v>108</v>
      </c>
      <c r="B53" s="35" t="s">
        <v>109</v>
      </c>
      <c r="C53" s="66" t="s">
        <v>105</v>
      </c>
      <c r="D53" s="83">
        <v>829</v>
      </c>
      <c r="E53" s="44">
        <v>8320</v>
      </c>
      <c r="F53" s="87">
        <v>661</v>
      </c>
      <c r="G53" s="68">
        <v>3860</v>
      </c>
      <c r="H53" s="65">
        <v>4400</v>
      </c>
      <c r="I53" s="65"/>
      <c r="J53" s="44">
        <f t="shared" si="0"/>
        <v>8260</v>
      </c>
      <c r="K53" s="57">
        <v>414</v>
      </c>
      <c r="L53" s="57">
        <f>D53+E53-F53</f>
        <v>8488</v>
      </c>
      <c r="M53" s="57">
        <f>F53+J53-K53</f>
        <v>8507</v>
      </c>
      <c r="N53" s="57"/>
      <c r="O53" s="46">
        <f t="shared" si="1"/>
        <v>2.2384542884071631E-3</v>
      </c>
      <c r="P53" s="46">
        <f>((H53+G53)-E53)/E53</f>
        <v>-7.2115384615384619E-3</v>
      </c>
      <c r="Q53" s="60">
        <v>1.9350000000000001</v>
      </c>
      <c r="R53" s="67">
        <f t="shared" si="2"/>
        <v>16461.045000000002</v>
      </c>
      <c r="S53" s="67">
        <f t="shared" si="3"/>
        <v>14802.18</v>
      </c>
      <c r="T53" s="104">
        <f t="shared" si="4"/>
        <v>1658.8650000000016</v>
      </c>
      <c r="U53" s="91">
        <f>H53*Q53</f>
        <v>8514</v>
      </c>
      <c r="V53" s="31"/>
      <c r="W53" s="1" t="s">
        <v>108</v>
      </c>
      <c r="X53" s="1" t="s">
        <v>109</v>
      </c>
      <c r="Y53" s="1" t="s">
        <v>105</v>
      </c>
      <c r="Z53" s="24">
        <v>1.74</v>
      </c>
      <c r="AA53" s="22">
        <f>Q53-Z53</f>
        <v>0.19500000000000006</v>
      </c>
      <c r="AB53" s="9">
        <f>AA53/Q53</f>
        <v>0.10077519379844964</v>
      </c>
      <c r="AC53" s="95">
        <f t="shared" si="13"/>
        <v>858.00000000000023</v>
      </c>
      <c r="AD53" s="2"/>
    </row>
    <row r="54" spans="1:30" x14ac:dyDescent="0.2">
      <c r="A54" s="35" t="s">
        <v>110</v>
      </c>
      <c r="B54" s="35" t="s">
        <v>111</v>
      </c>
      <c r="C54" s="66" t="s">
        <v>105</v>
      </c>
      <c r="D54" s="83">
        <v>2400</v>
      </c>
      <c r="E54" s="44">
        <v>32500</v>
      </c>
      <c r="F54" s="87">
        <v>2100</v>
      </c>
      <c r="G54" s="68">
        <v>14500</v>
      </c>
      <c r="H54" s="65">
        <v>16500</v>
      </c>
      <c r="I54" s="65"/>
      <c r="J54" s="44">
        <f t="shared" si="0"/>
        <v>31000</v>
      </c>
      <c r="K54" s="57">
        <v>3841</v>
      </c>
      <c r="L54" s="57">
        <f>D54+E54-F54</f>
        <v>32800</v>
      </c>
      <c r="M54" s="57">
        <f>F54+J54-K54</f>
        <v>29259</v>
      </c>
      <c r="N54" s="57"/>
      <c r="O54" s="46">
        <f t="shared" si="1"/>
        <v>-0.10795731707317073</v>
      </c>
      <c r="P54" s="46">
        <f>((H54+G54)-E54)/E54</f>
        <v>-4.6153846153846156E-2</v>
      </c>
      <c r="Q54" s="60">
        <v>0.34899999999999998</v>
      </c>
      <c r="R54" s="67">
        <f t="shared" si="2"/>
        <v>10211.391</v>
      </c>
      <c r="S54" s="67">
        <f t="shared" si="3"/>
        <v>9190.2518999999993</v>
      </c>
      <c r="T54" s="104">
        <f t="shared" si="4"/>
        <v>1021.1391000000003</v>
      </c>
      <c r="U54" s="91">
        <f>H54*Q54</f>
        <v>5758.5</v>
      </c>
      <c r="V54" s="31"/>
      <c r="W54" s="1" t="s">
        <v>110</v>
      </c>
      <c r="X54" s="1" t="s">
        <v>111</v>
      </c>
      <c r="Y54" s="1" t="s">
        <v>105</v>
      </c>
      <c r="Z54" s="24">
        <v>0.31409999999999999</v>
      </c>
      <c r="AA54" s="22">
        <f>Q54-Z54</f>
        <v>3.4899999999999987E-2</v>
      </c>
      <c r="AB54" s="9">
        <f>AA54/Q54</f>
        <v>9.9999999999999964E-2</v>
      </c>
      <c r="AC54" s="95">
        <f t="shared" si="13"/>
        <v>575.8499999999998</v>
      </c>
      <c r="AD54" s="2"/>
    </row>
    <row r="55" spans="1:30" x14ac:dyDescent="0.2">
      <c r="A55" s="71"/>
      <c r="B55" s="71"/>
      <c r="C55" s="72"/>
      <c r="D55" s="81"/>
      <c r="E55" s="44"/>
      <c r="F55" s="81"/>
      <c r="G55" s="73"/>
      <c r="H55" s="74"/>
      <c r="I55" s="74"/>
      <c r="J55" s="44"/>
      <c r="K55" s="57"/>
      <c r="L55" s="57"/>
      <c r="M55" s="57"/>
      <c r="N55" s="57"/>
      <c r="O55" s="46"/>
      <c r="P55" s="46"/>
      <c r="Q55" s="75"/>
      <c r="R55" s="67"/>
      <c r="S55" s="67"/>
      <c r="T55" s="104"/>
      <c r="U55" s="91"/>
      <c r="V55" s="32"/>
      <c r="W55" s="6"/>
      <c r="Y55" s="6"/>
      <c r="Z55" s="26"/>
      <c r="AA55" s="23"/>
      <c r="AB55" s="9"/>
      <c r="AC55" s="98">
        <f t="shared" si="13"/>
        <v>0</v>
      </c>
      <c r="AD55" s="7">
        <f>SUM(AC51:AC54)</f>
        <v>1948.25</v>
      </c>
    </row>
    <row r="56" spans="1:30" x14ac:dyDescent="0.2">
      <c r="A56" s="3" t="s">
        <v>112</v>
      </c>
      <c r="B56" s="3" t="s">
        <v>113</v>
      </c>
      <c r="C56" s="58" t="s">
        <v>114</v>
      </c>
      <c r="D56" s="83">
        <v>983</v>
      </c>
      <c r="E56" s="45">
        <v>3000</v>
      </c>
      <c r="F56" s="87">
        <v>730</v>
      </c>
      <c r="G56" s="66">
        <v>1500</v>
      </c>
      <c r="H56" s="57">
        <v>2000</v>
      </c>
      <c r="I56" s="57"/>
      <c r="J56" s="44">
        <f t="shared" si="0"/>
        <v>3500</v>
      </c>
      <c r="K56" s="57">
        <v>2124</v>
      </c>
      <c r="L56" s="57">
        <f>D56+E56-F56</f>
        <v>3253</v>
      </c>
      <c r="M56" s="57">
        <f>F56+J56-K56</f>
        <v>2106</v>
      </c>
      <c r="N56" s="57"/>
      <c r="O56" s="46">
        <f t="shared" si="1"/>
        <v>-0.35259760221334152</v>
      </c>
      <c r="P56" s="46">
        <f>((H56+G56)-E56)/E56</f>
        <v>0.16666666666666666</v>
      </c>
      <c r="Q56" s="60">
        <v>0.28999999999999998</v>
      </c>
      <c r="R56" s="67">
        <f t="shared" si="2"/>
        <v>610.74</v>
      </c>
      <c r="S56" s="67">
        <f t="shared" si="3"/>
        <v>463.32</v>
      </c>
      <c r="T56" s="104">
        <f t="shared" si="4"/>
        <v>147.42000000000002</v>
      </c>
      <c r="U56" s="91">
        <f>H56*Q56</f>
        <v>580</v>
      </c>
      <c r="V56" s="31"/>
      <c r="W56" s="3" t="s">
        <v>112</v>
      </c>
      <c r="X56" s="131" t="s">
        <v>113</v>
      </c>
      <c r="Y56" s="3" t="s">
        <v>114</v>
      </c>
      <c r="Z56" s="27">
        <v>0.22</v>
      </c>
      <c r="AA56" s="22">
        <f>Q56-Z56</f>
        <v>6.9999999999999979E-2</v>
      </c>
      <c r="AB56" s="9">
        <f>AA56/Q56</f>
        <v>0.24137931034482754</v>
      </c>
      <c r="AC56" s="95">
        <f t="shared" si="13"/>
        <v>139.99999999999997</v>
      </c>
      <c r="AD56" s="2"/>
    </row>
    <row r="57" spans="1:30" x14ac:dyDescent="0.2">
      <c r="A57" s="3" t="s">
        <v>115</v>
      </c>
      <c r="B57" s="3" t="s">
        <v>116</v>
      </c>
      <c r="C57" s="58" t="s">
        <v>114</v>
      </c>
      <c r="D57" s="83">
        <v>3800</v>
      </c>
      <c r="E57" s="45">
        <v>11000</v>
      </c>
      <c r="F57" s="87">
        <v>2600</v>
      </c>
      <c r="G57" s="66">
        <v>8100</v>
      </c>
      <c r="H57" s="57">
        <v>3000</v>
      </c>
      <c r="I57" s="57"/>
      <c r="J57" s="44">
        <f t="shared" si="0"/>
        <v>11100</v>
      </c>
      <c r="K57" s="57">
        <v>2800</v>
      </c>
      <c r="L57" s="57">
        <f>D57+E57-F57</f>
        <v>12200</v>
      </c>
      <c r="M57" s="57">
        <f>F57+J57-K57</f>
        <v>10900</v>
      </c>
      <c r="N57" s="57"/>
      <c r="O57" s="46">
        <f t="shared" si="1"/>
        <v>-0.10655737704918032</v>
      </c>
      <c r="P57" s="46">
        <f>((H57+G57)-E57)/E57</f>
        <v>9.0909090909090905E-3</v>
      </c>
      <c r="Q57" s="60">
        <v>6.9272727272727277E-2</v>
      </c>
      <c r="R57" s="67">
        <f t="shared" si="2"/>
        <v>755.07272727272732</v>
      </c>
      <c r="S57" s="67">
        <f t="shared" si="3"/>
        <v>534.1</v>
      </c>
      <c r="T57" s="104">
        <f t="shared" si="4"/>
        <v>220.9727272727273</v>
      </c>
      <c r="U57" s="91">
        <f>H57*Q57</f>
        <v>207.81818181818184</v>
      </c>
      <c r="V57" s="31"/>
      <c r="W57" s="3" t="s">
        <v>115</v>
      </c>
      <c r="X57" s="131" t="s">
        <v>116</v>
      </c>
      <c r="Y57" s="3" t="s">
        <v>114</v>
      </c>
      <c r="Z57" s="27">
        <v>4.9000000000000002E-2</v>
      </c>
      <c r="AA57" s="22">
        <f>Q57-Z57</f>
        <v>2.0272727272727276E-2</v>
      </c>
      <c r="AB57" s="9">
        <f>AA57/Q57</f>
        <v>0.29265091863517062</v>
      </c>
      <c r="AC57" s="95">
        <f t="shared" si="13"/>
        <v>60.818181818181827</v>
      </c>
      <c r="AD57" s="2"/>
    </row>
    <row r="58" spans="1:30" x14ac:dyDescent="0.2">
      <c r="A58" s="3" t="s">
        <v>117</v>
      </c>
      <c r="B58" s="3" t="s">
        <v>118</v>
      </c>
      <c r="C58" s="58" t="s">
        <v>114</v>
      </c>
      <c r="D58" s="83"/>
      <c r="E58" s="45">
        <v>1701</v>
      </c>
      <c r="F58" s="87">
        <v>180</v>
      </c>
      <c r="G58" s="66">
        <v>1400</v>
      </c>
      <c r="H58" s="57">
        <v>800</v>
      </c>
      <c r="I58" s="57"/>
      <c r="J58" s="44">
        <f t="shared" si="0"/>
        <v>2200</v>
      </c>
      <c r="K58" s="57">
        <v>413</v>
      </c>
      <c r="L58" s="57">
        <f>D58+E58-F58</f>
        <v>1521</v>
      </c>
      <c r="M58" s="57">
        <f>F58+J58-K58</f>
        <v>1967</v>
      </c>
      <c r="N58" s="57"/>
      <c r="O58" s="46">
        <f t="shared" si="1"/>
        <v>0.29322813938198555</v>
      </c>
      <c r="P58" s="46">
        <f>((H58+G58)-E58)/E58</f>
        <v>0.29335684891240449</v>
      </c>
      <c r="Q58" s="60">
        <v>0.38</v>
      </c>
      <c r="R58" s="67">
        <f t="shared" si="2"/>
        <v>747.46</v>
      </c>
      <c r="S58" s="67">
        <f t="shared" si="3"/>
        <v>590.1</v>
      </c>
      <c r="T58" s="104">
        <f t="shared" si="4"/>
        <v>157.36000000000001</v>
      </c>
      <c r="U58" s="91">
        <f>H58*Q58</f>
        <v>304</v>
      </c>
      <c r="V58" s="31"/>
      <c r="W58" s="3" t="s">
        <v>117</v>
      </c>
      <c r="X58" s="131" t="s">
        <v>118</v>
      </c>
      <c r="Y58" s="3" t="s">
        <v>114</v>
      </c>
      <c r="Z58" s="27">
        <v>0.3</v>
      </c>
      <c r="AA58" s="22">
        <f>Q58-Z58</f>
        <v>8.0000000000000016E-2</v>
      </c>
      <c r="AB58" s="9">
        <f>AA58/Q58</f>
        <v>0.21052631578947373</v>
      </c>
      <c r="AC58" s="95">
        <f t="shared" si="13"/>
        <v>64.000000000000014</v>
      </c>
      <c r="AD58" s="2"/>
    </row>
    <row r="59" spans="1:30" x14ac:dyDescent="0.2">
      <c r="A59" s="3" t="s">
        <v>119</v>
      </c>
      <c r="B59" s="3" t="s">
        <v>120</v>
      </c>
      <c r="C59" s="58" t="s">
        <v>114</v>
      </c>
      <c r="D59" s="83">
        <v>5000</v>
      </c>
      <c r="E59" s="45">
        <v>10000</v>
      </c>
      <c r="F59" s="87">
        <v>2200</v>
      </c>
      <c r="G59" s="66">
        <v>10000</v>
      </c>
      <c r="H59" s="57">
        <v>3000</v>
      </c>
      <c r="I59" s="57"/>
      <c r="J59" s="44">
        <f t="shared" si="0"/>
        <v>13000</v>
      </c>
      <c r="K59" s="57">
        <v>2450</v>
      </c>
      <c r="L59" s="57">
        <f>D59+E59-F59</f>
        <v>12800</v>
      </c>
      <c r="M59" s="57">
        <f>F59+J59-K59</f>
        <v>12750</v>
      </c>
      <c r="N59" s="57"/>
      <c r="O59" s="46">
        <f t="shared" si="1"/>
        <v>-3.90625E-3</v>
      </c>
      <c r="P59" s="46">
        <f>((H59+G59)-E59)/E59</f>
        <v>0.3</v>
      </c>
      <c r="Q59" s="60">
        <v>0.05</v>
      </c>
      <c r="R59" s="67">
        <f t="shared" si="2"/>
        <v>637.5</v>
      </c>
      <c r="S59" s="67">
        <f t="shared" si="3"/>
        <v>267.75</v>
      </c>
      <c r="T59" s="104">
        <f t="shared" si="4"/>
        <v>369.75</v>
      </c>
      <c r="U59" s="91">
        <f>H59*Q59</f>
        <v>150</v>
      </c>
      <c r="V59" s="31"/>
      <c r="W59" s="3" t="s">
        <v>119</v>
      </c>
      <c r="X59" s="131" t="s">
        <v>120</v>
      </c>
      <c r="Y59" s="3" t="s">
        <v>114</v>
      </c>
      <c r="Z59" s="27">
        <v>2.1000000000000001E-2</v>
      </c>
      <c r="AA59" s="22">
        <f>Q59-Z59</f>
        <v>2.9000000000000001E-2</v>
      </c>
      <c r="AB59" s="9">
        <f>AA59/Q59</f>
        <v>0.57999999999999996</v>
      </c>
      <c r="AC59" s="95">
        <f t="shared" si="13"/>
        <v>87</v>
      </c>
      <c r="AD59" s="2"/>
    </row>
    <row r="60" spans="1:30" x14ac:dyDescent="0.2">
      <c r="A60" s="3" t="s">
        <v>121</v>
      </c>
      <c r="B60" s="3" t="s">
        <v>122</v>
      </c>
      <c r="C60" s="58" t="s">
        <v>114</v>
      </c>
      <c r="D60" s="83">
        <v>2000</v>
      </c>
      <c r="E60" s="45">
        <v>1000</v>
      </c>
      <c r="F60" s="87">
        <v>1400</v>
      </c>
      <c r="G60" s="66">
        <v>1000</v>
      </c>
      <c r="H60" s="57">
        <v>2000</v>
      </c>
      <c r="I60" s="57"/>
      <c r="J60" s="44">
        <f t="shared" si="0"/>
        <v>3000</v>
      </c>
      <c r="K60" s="57">
        <v>2280</v>
      </c>
      <c r="L60" s="57">
        <f>D60+E60-F60</f>
        <v>1600</v>
      </c>
      <c r="M60" s="57">
        <f>F60+J60-K60</f>
        <v>2120</v>
      </c>
      <c r="N60" s="57"/>
      <c r="O60" s="46">
        <f t="shared" si="1"/>
        <v>0.32500000000000001</v>
      </c>
      <c r="P60" s="46">
        <f>((H60+G60)-E60)/E60</f>
        <v>2</v>
      </c>
      <c r="Q60" s="60">
        <v>0.09</v>
      </c>
      <c r="R60" s="67">
        <f t="shared" si="2"/>
        <v>190.79999999999998</v>
      </c>
      <c r="S60" s="67">
        <f t="shared" si="3"/>
        <v>122.96000000000001</v>
      </c>
      <c r="T60" s="104">
        <f t="shared" si="4"/>
        <v>67.839999999999975</v>
      </c>
      <c r="U60" s="91">
        <f>H60*Q60</f>
        <v>180</v>
      </c>
      <c r="V60" s="31"/>
      <c r="W60" s="3" t="s">
        <v>121</v>
      </c>
      <c r="X60" s="131" t="s">
        <v>122</v>
      </c>
      <c r="Y60" s="3" t="s">
        <v>114</v>
      </c>
      <c r="Z60" s="27">
        <v>5.8000000000000003E-2</v>
      </c>
      <c r="AA60" s="22">
        <f>Q60-Z60</f>
        <v>3.1999999999999994E-2</v>
      </c>
      <c r="AB60" s="9">
        <f>AA60/Q60</f>
        <v>0.35555555555555551</v>
      </c>
      <c r="AC60" s="95">
        <f t="shared" si="13"/>
        <v>63.999999999999986</v>
      </c>
      <c r="AD60" s="2"/>
    </row>
    <row r="61" spans="1:30" x14ac:dyDescent="0.2">
      <c r="A61" s="71"/>
      <c r="B61" s="71"/>
      <c r="C61" s="72"/>
      <c r="D61" s="81"/>
      <c r="E61" s="44"/>
      <c r="F61" s="81"/>
      <c r="G61" s="73"/>
      <c r="H61" s="74"/>
      <c r="I61" s="74"/>
      <c r="J61" s="44"/>
      <c r="K61" s="57"/>
      <c r="L61" s="57"/>
      <c r="M61" s="57"/>
      <c r="N61" s="57"/>
      <c r="O61" s="46"/>
      <c r="P61" s="46"/>
      <c r="Q61" s="75"/>
      <c r="R61" s="67"/>
      <c r="S61" s="67"/>
      <c r="T61" s="104"/>
      <c r="U61" s="91"/>
      <c r="V61" s="32"/>
      <c r="W61" s="6"/>
      <c r="Y61" s="6"/>
      <c r="Z61" s="26"/>
      <c r="AA61" s="23"/>
      <c r="AB61" s="9"/>
      <c r="AC61" s="99">
        <f t="shared" si="13"/>
        <v>0</v>
      </c>
      <c r="AD61" s="4">
        <f>SUM(AC56:AC60)</f>
        <v>415.81818181818181</v>
      </c>
    </row>
    <row r="62" spans="1:30" x14ac:dyDescent="0.2">
      <c r="A62" s="3" t="s">
        <v>123</v>
      </c>
      <c r="B62" s="3" t="s">
        <v>124</v>
      </c>
      <c r="C62" s="58" t="s">
        <v>50</v>
      </c>
      <c r="D62" s="83">
        <v>1340</v>
      </c>
      <c r="E62" s="45">
        <v>18400</v>
      </c>
      <c r="F62" s="87">
        <v>1730</v>
      </c>
      <c r="G62" s="66">
        <v>8990</v>
      </c>
      <c r="H62" s="57">
        <v>10000</v>
      </c>
      <c r="I62" s="57"/>
      <c r="J62" s="44">
        <f t="shared" si="0"/>
        <v>18990</v>
      </c>
      <c r="K62" s="57">
        <v>2500</v>
      </c>
      <c r="L62" s="57">
        <f>D62+E62-F62</f>
        <v>18010</v>
      </c>
      <c r="M62" s="57">
        <f>F62+J62-K62</f>
        <v>18220</v>
      </c>
      <c r="N62" s="57"/>
      <c r="O62" s="46">
        <f t="shared" si="1"/>
        <v>1.1660188784008884E-2</v>
      </c>
      <c r="P62" s="46">
        <f>((H62+G62)-E62)/E62</f>
        <v>3.206521739130435E-2</v>
      </c>
      <c r="Q62" s="60">
        <v>0.52423913043478265</v>
      </c>
      <c r="R62" s="67">
        <f t="shared" si="2"/>
        <v>9551.6369565217392</v>
      </c>
      <c r="S62" s="67">
        <f t="shared" si="3"/>
        <v>5283.7999999999993</v>
      </c>
      <c r="T62" s="104">
        <f t="shared" si="4"/>
        <v>4267.8369565217399</v>
      </c>
      <c r="U62" s="91">
        <f>H62*Q62</f>
        <v>5242.3913043478269</v>
      </c>
      <c r="V62" s="31"/>
      <c r="W62" s="3" t="s">
        <v>123</v>
      </c>
      <c r="X62" s="131" t="s">
        <v>124</v>
      </c>
      <c r="Y62" s="3" t="s">
        <v>62</v>
      </c>
      <c r="Z62" s="28">
        <v>0.28999999999999998</v>
      </c>
      <c r="AA62" s="22">
        <f>Q62-Z62</f>
        <v>0.23423913043478267</v>
      </c>
      <c r="AB62" s="9">
        <f>AA62/Q62</f>
        <v>0.44681733360978654</v>
      </c>
      <c r="AC62" s="95">
        <f t="shared" si="13"/>
        <v>2342.3913043478269</v>
      </c>
      <c r="AD62" s="2"/>
    </row>
    <row r="63" spans="1:30" x14ac:dyDescent="0.2">
      <c r="A63" s="3" t="s">
        <v>125</v>
      </c>
      <c r="B63" s="3" t="s">
        <v>126</v>
      </c>
      <c r="C63" s="58" t="s">
        <v>50</v>
      </c>
      <c r="D63" s="83">
        <v>780</v>
      </c>
      <c r="E63" s="45">
        <v>12200</v>
      </c>
      <c r="F63" s="87">
        <v>1700</v>
      </c>
      <c r="G63" s="66">
        <v>10800</v>
      </c>
      <c r="H63" s="57">
        <v>4100</v>
      </c>
      <c r="I63" s="57"/>
      <c r="J63" s="44">
        <f t="shared" si="0"/>
        <v>14900</v>
      </c>
      <c r="K63" s="57">
        <v>1040</v>
      </c>
      <c r="L63" s="57">
        <f>D63+E63-F63</f>
        <v>11280</v>
      </c>
      <c r="M63" s="57">
        <f>F63+J63-K63</f>
        <v>15560</v>
      </c>
      <c r="N63" s="57"/>
      <c r="O63" s="46">
        <f t="shared" si="1"/>
        <v>0.37943262411347517</v>
      </c>
      <c r="P63" s="46">
        <f>((H63+G63)-E63)/E63</f>
        <v>0.22131147540983606</v>
      </c>
      <c r="Q63" s="60">
        <v>0.59508196721311479</v>
      </c>
      <c r="R63" s="67">
        <f t="shared" si="2"/>
        <v>9259.4754098360663</v>
      </c>
      <c r="S63" s="67">
        <f t="shared" si="3"/>
        <v>5446</v>
      </c>
      <c r="T63" s="104">
        <f t="shared" si="4"/>
        <v>3813.4754098360663</v>
      </c>
      <c r="U63" s="91">
        <f>H63*Q63</f>
        <v>2439.8360655737706</v>
      </c>
      <c r="V63" s="31"/>
      <c r="W63" s="3" t="s">
        <v>125</v>
      </c>
      <c r="X63" s="131" t="s">
        <v>126</v>
      </c>
      <c r="Y63" s="3" t="s">
        <v>62</v>
      </c>
      <c r="Z63" s="28">
        <v>0.35</v>
      </c>
      <c r="AA63" s="22">
        <f>Q63-Z63</f>
        <v>0.24508196721311482</v>
      </c>
      <c r="AB63" s="9">
        <f>AA63/Q63</f>
        <v>0.41184573002754826</v>
      </c>
      <c r="AC63" s="95">
        <f t="shared" si="13"/>
        <v>1004.8360655737707</v>
      </c>
      <c r="AD63" s="2"/>
    </row>
    <row r="64" spans="1:30" x14ac:dyDescent="0.2">
      <c r="A64" s="71"/>
      <c r="B64" s="71"/>
      <c r="C64" s="72"/>
      <c r="D64" s="81"/>
      <c r="E64" s="88"/>
      <c r="F64" s="81"/>
      <c r="G64" s="72"/>
      <c r="H64" s="74"/>
      <c r="I64" s="74"/>
      <c r="J64" s="44"/>
      <c r="K64" s="57"/>
      <c r="L64" s="57"/>
      <c r="M64" s="57"/>
      <c r="N64" s="57"/>
      <c r="O64" s="46"/>
      <c r="P64" s="46"/>
      <c r="Q64" s="75"/>
      <c r="R64" s="67"/>
      <c r="S64" s="67"/>
      <c r="T64" s="104"/>
      <c r="U64" s="91"/>
      <c r="V64" s="32"/>
      <c r="W64" s="6"/>
      <c r="Y64" s="6"/>
      <c r="Z64" s="26"/>
      <c r="AA64" s="23"/>
      <c r="AB64" s="9"/>
      <c r="AC64" s="98">
        <f t="shared" si="13"/>
        <v>0</v>
      </c>
      <c r="AD64" s="4">
        <f>SUM(AC62:AC63)</f>
        <v>3347.2273699215975</v>
      </c>
    </row>
    <row r="65" spans="1:30" x14ac:dyDescent="0.2">
      <c r="A65" s="35" t="s">
        <v>127</v>
      </c>
      <c r="B65" s="35" t="s">
        <v>128</v>
      </c>
      <c r="C65" s="66" t="s">
        <v>129</v>
      </c>
      <c r="D65" s="83">
        <v>180</v>
      </c>
      <c r="E65" s="44">
        <v>1445</v>
      </c>
      <c r="F65" s="87">
        <v>90</v>
      </c>
      <c r="G65" s="66">
        <v>486</v>
      </c>
      <c r="H65" s="65">
        <v>660</v>
      </c>
      <c r="I65" s="65"/>
      <c r="J65" s="44">
        <v>1236</v>
      </c>
      <c r="K65" s="57">
        <v>180</v>
      </c>
      <c r="L65" s="57">
        <f>D65+E65-F65</f>
        <v>1535</v>
      </c>
      <c r="M65" s="57">
        <f>F65+J65-K65</f>
        <v>1146</v>
      </c>
      <c r="N65" s="57"/>
      <c r="O65" s="46">
        <f t="shared" si="1"/>
        <v>-0.25342019543973943</v>
      </c>
      <c r="P65" s="46">
        <f>((H65+G65)-E65)/E65</f>
        <v>-0.2069204152249135</v>
      </c>
      <c r="Q65" s="60">
        <v>6.7839999999999998</v>
      </c>
      <c r="R65" s="67">
        <f t="shared" si="2"/>
        <v>7774.4639999999999</v>
      </c>
      <c r="S65" s="67">
        <f t="shared" si="3"/>
        <v>6876</v>
      </c>
      <c r="T65" s="104">
        <f t="shared" si="4"/>
        <v>898.46399999999994</v>
      </c>
      <c r="U65" s="91">
        <f>H65*Q65</f>
        <v>4477.4399999999996</v>
      </c>
      <c r="V65" s="31"/>
      <c r="W65" s="1" t="s">
        <v>127</v>
      </c>
      <c r="X65" s="1" t="s">
        <v>128</v>
      </c>
      <c r="Y65" s="1" t="s">
        <v>129</v>
      </c>
      <c r="Z65" s="28">
        <v>6</v>
      </c>
      <c r="AA65" s="22">
        <f>Q65-Z65</f>
        <v>0.78399999999999981</v>
      </c>
      <c r="AB65" s="9">
        <f>AA65/Q65</f>
        <v>0.11556603773584903</v>
      </c>
      <c r="AC65" s="95">
        <f t="shared" si="13"/>
        <v>517.43999999999983</v>
      </c>
      <c r="AD65" s="2"/>
    </row>
    <row r="66" spans="1:30" x14ac:dyDescent="0.2">
      <c r="A66" s="107" t="s">
        <v>147</v>
      </c>
      <c r="B66" s="107" t="s">
        <v>148</v>
      </c>
      <c r="C66" s="66" t="s">
        <v>149</v>
      </c>
      <c r="D66" s="83">
        <v>0</v>
      </c>
      <c r="E66" s="44">
        <v>510</v>
      </c>
      <c r="F66" s="87">
        <v>45</v>
      </c>
      <c r="G66" s="66">
        <v>200</v>
      </c>
      <c r="H66" s="65">
        <v>300</v>
      </c>
      <c r="I66" s="65"/>
      <c r="J66" s="44">
        <v>200</v>
      </c>
      <c r="K66" s="57">
        <v>0</v>
      </c>
      <c r="L66" s="57">
        <f>D66+E66-F66</f>
        <v>465</v>
      </c>
      <c r="M66" s="57">
        <f>F66+J66-K66</f>
        <v>245</v>
      </c>
      <c r="N66" s="57"/>
      <c r="O66" s="46">
        <f t="shared" si="1"/>
        <v>-0.4731182795698925</v>
      </c>
      <c r="P66" s="46">
        <f>((H66+G66)-E66)/E66</f>
        <v>-1.9607843137254902E-2</v>
      </c>
      <c r="Q66" s="60">
        <v>9.9499999999999993</v>
      </c>
      <c r="R66" s="67">
        <f t="shared" si="2"/>
        <v>2437.75</v>
      </c>
      <c r="S66" s="67">
        <f t="shared" si="3"/>
        <v>1335.25</v>
      </c>
      <c r="T66" s="104">
        <f t="shared" si="4"/>
        <v>1102.5</v>
      </c>
      <c r="U66" s="92">
        <f>H66*Q66</f>
        <v>2985</v>
      </c>
      <c r="V66" s="33"/>
      <c r="W66" s="17" t="s">
        <v>150</v>
      </c>
      <c r="X66" s="1" t="s">
        <v>151</v>
      </c>
      <c r="Y66" s="30" t="s">
        <v>10</v>
      </c>
      <c r="Z66" s="29">
        <v>5.45</v>
      </c>
      <c r="AA66" s="10">
        <f>Q66-Z66</f>
        <v>4.4999999999999991</v>
      </c>
      <c r="AB66" s="9">
        <f>AA66/Q66</f>
        <v>0.45226130653266328</v>
      </c>
      <c r="AC66" s="95">
        <f t="shared" si="13"/>
        <v>1349.9999999999998</v>
      </c>
      <c r="AD66" s="17"/>
    </row>
    <row r="67" spans="1:30" x14ac:dyDescent="0.2">
      <c r="A67" s="107" t="s">
        <v>150</v>
      </c>
      <c r="B67" s="107" t="s">
        <v>152</v>
      </c>
      <c r="C67" s="66" t="s">
        <v>10</v>
      </c>
      <c r="D67" s="83">
        <v>90</v>
      </c>
      <c r="E67" s="44">
        <v>1295</v>
      </c>
      <c r="F67" s="87">
        <v>61</v>
      </c>
      <c r="G67" s="66">
        <v>1290</v>
      </c>
      <c r="H67" s="65">
        <v>430</v>
      </c>
      <c r="I67" s="65"/>
      <c r="J67" s="44">
        <f t="shared" ref="J67:J97" si="15">H67+G67</f>
        <v>1720</v>
      </c>
      <c r="K67" s="57">
        <v>80</v>
      </c>
      <c r="L67" s="57">
        <f>D67+E67-F67</f>
        <v>1324</v>
      </c>
      <c r="M67" s="57">
        <f>F67+J67-K67</f>
        <v>1701</v>
      </c>
      <c r="N67" s="57"/>
      <c r="O67" s="46">
        <f t="shared" ref="O67:O73" si="16">(M67-L67)/L67</f>
        <v>0.28474320241691842</v>
      </c>
      <c r="P67" s="46">
        <f>((H67+G67)-E67)/E67</f>
        <v>0.3281853281853282</v>
      </c>
      <c r="Q67" s="60">
        <v>7.5</v>
      </c>
      <c r="R67" s="67">
        <f t="shared" ref="R67:R73" si="17">M67*Q67</f>
        <v>12757.5</v>
      </c>
      <c r="S67" s="67">
        <f t="shared" ref="S67:S73" si="18">M67*Z67</f>
        <v>9270.4500000000007</v>
      </c>
      <c r="T67" s="104">
        <f t="shared" ref="T67:T73" si="19">R67-S67</f>
        <v>3487.0499999999993</v>
      </c>
      <c r="U67" s="91">
        <f>H67*Q67</f>
        <v>3225</v>
      </c>
      <c r="V67" s="31"/>
      <c r="W67" s="17" t="s">
        <v>150</v>
      </c>
      <c r="X67" s="1" t="s">
        <v>151</v>
      </c>
      <c r="Y67" s="30" t="s">
        <v>10</v>
      </c>
      <c r="Z67" s="29">
        <v>5.45</v>
      </c>
      <c r="AA67" s="10">
        <f>Q67-Z67</f>
        <v>2.0499999999999998</v>
      </c>
      <c r="AB67" s="9">
        <f>AA67/Q67</f>
        <v>0.27333333333333332</v>
      </c>
      <c r="AC67" s="95">
        <f t="shared" si="13"/>
        <v>881.49999999999989</v>
      </c>
      <c r="AD67" s="17"/>
    </row>
    <row r="68" spans="1:30" x14ac:dyDescent="0.2">
      <c r="A68" s="71"/>
      <c r="B68" s="71"/>
      <c r="C68" s="72"/>
      <c r="D68" s="81"/>
      <c r="E68" s="88"/>
      <c r="F68" s="81"/>
      <c r="G68" s="72"/>
      <c r="H68" s="74"/>
      <c r="I68" s="74"/>
      <c r="J68" s="44"/>
      <c r="K68" s="57"/>
      <c r="L68" s="57"/>
      <c r="M68" s="57"/>
      <c r="N68" s="57"/>
      <c r="O68" s="46"/>
      <c r="P68" s="46"/>
      <c r="Q68" s="75"/>
      <c r="R68" s="67"/>
      <c r="S68" s="67"/>
      <c r="T68" s="104"/>
      <c r="U68" s="93"/>
      <c r="V68" s="32"/>
      <c r="W68" s="6"/>
      <c r="Y68" s="6"/>
      <c r="Z68" s="26"/>
      <c r="AA68" s="23"/>
      <c r="AB68" s="18"/>
      <c r="AC68" s="100">
        <f t="shared" si="13"/>
        <v>0</v>
      </c>
      <c r="AD68" s="19">
        <f>SUM(AC65:AC67)</f>
        <v>2748.9399999999996</v>
      </c>
    </row>
    <row r="69" spans="1:30" x14ac:dyDescent="0.2">
      <c r="A69" s="35" t="s">
        <v>130</v>
      </c>
      <c r="B69" s="35" t="s">
        <v>131</v>
      </c>
      <c r="C69" s="66" t="s">
        <v>132</v>
      </c>
      <c r="D69" s="83">
        <v>1404</v>
      </c>
      <c r="E69" s="44">
        <v>5320</v>
      </c>
      <c r="F69" s="87">
        <v>630</v>
      </c>
      <c r="G69" s="66">
        <v>4440</v>
      </c>
      <c r="H69" s="65">
        <v>1260</v>
      </c>
      <c r="I69" s="65"/>
      <c r="J69" s="44">
        <f t="shared" si="15"/>
        <v>5700</v>
      </c>
      <c r="K69" s="57">
        <v>843</v>
      </c>
      <c r="L69" s="57">
        <f>D69+E69-F69</f>
        <v>6094</v>
      </c>
      <c r="M69" s="57">
        <f>F69+J69-K69</f>
        <v>5487</v>
      </c>
      <c r="N69" s="57"/>
      <c r="O69" s="46">
        <f t="shared" si="16"/>
        <v>-9.960617000328191E-2</v>
      </c>
      <c r="P69" s="46">
        <f>((H69+G69)-E69)/E69</f>
        <v>7.1428571428571425E-2</v>
      </c>
      <c r="Q69" s="60">
        <v>1.9330000000000001</v>
      </c>
      <c r="R69" s="67">
        <f t="shared" si="17"/>
        <v>10606.371000000001</v>
      </c>
      <c r="S69" s="67">
        <f t="shared" si="18"/>
        <v>9273.0299999999988</v>
      </c>
      <c r="T69" s="104">
        <f t="shared" si="19"/>
        <v>1333.3410000000022</v>
      </c>
      <c r="U69" s="91">
        <f>H69*Q69</f>
        <v>2435.58</v>
      </c>
      <c r="V69" s="31"/>
      <c r="W69" s="1" t="s">
        <v>130</v>
      </c>
      <c r="X69" s="1" t="s">
        <v>131</v>
      </c>
      <c r="Y69" s="1" t="s">
        <v>133</v>
      </c>
      <c r="Z69" s="24">
        <v>1.69</v>
      </c>
      <c r="AA69" s="22">
        <f>Q69-Z69</f>
        <v>0.2430000000000001</v>
      </c>
      <c r="AB69" s="9">
        <f>AA69/Q69</f>
        <v>0.12571132953957584</v>
      </c>
      <c r="AC69" s="95">
        <f t="shared" si="13"/>
        <v>306.18000000000012</v>
      </c>
      <c r="AD69" s="2"/>
    </row>
    <row r="70" spans="1:30" x14ac:dyDescent="0.2">
      <c r="A70" s="71"/>
      <c r="B70" s="71"/>
      <c r="C70" s="72"/>
      <c r="D70" s="81"/>
      <c r="E70" s="88"/>
      <c r="F70" s="81"/>
      <c r="G70" s="72"/>
      <c r="H70" s="74"/>
      <c r="I70" s="74"/>
      <c r="J70" s="44"/>
      <c r="K70" s="57"/>
      <c r="L70" s="57"/>
      <c r="M70" s="57"/>
      <c r="N70" s="57"/>
      <c r="O70" s="46"/>
      <c r="P70" s="46"/>
      <c r="Q70" s="75"/>
      <c r="R70" s="67"/>
      <c r="S70" s="67"/>
      <c r="T70" s="104"/>
      <c r="U70" s="91"/>
      <c r="V70" s="32"/>
      <c r="W70" s="6"/>
      <c r="Y70" s="6"/>
      <c r="Z70" s="26"/>
      <c r="AA70" s="23"/>
      <c r="AB70" s="9"/>
      <c r="AC70" s="99">
        <f t="shared" si="13"/>
        <v>0</v>
      </c>
      <c r="AD70" s="4">
        <f>SUM(AC69)</f>
        <v>306.18000000000012</v>
      </c>
    </row>
    <row r="71" spans="1:30" x14ac:dyDescent="0.2">
      <c r="A71" s="35" t="s">
        <v>136</v>
      </c>
      <c r="B71" s="35" t="s">
        <v>135</v>
      </c>
      <c r="C71" s="66" t="s">
        <v>137</v>
      </c>
      <c r="D71" s="83">
        <v>600</v>
      </c>
      <c r="E71" s="44">
        <v>5250</v>
      </c>
      <c r="F71" s="87">
        <v>550</v>
      </c>
      <c r="G71" s="66">
        <v>2400</v>
      </c>
      <c r="H71" s="65">
        <v>3072</v>
      </c>
      <c r="I71" s="65"/>
      <c r="J71" s="44">
        <f t="shared" si="15"/>
        <v>5472</v>
      </c>
      <c r="K71" s="57">
        <v>700</v>
      </c>
      <c r="L71" s="57">
        <f>D71+E71-F71</f>
        <v>5300</v>
      </c>
      <c r="M71" s="57">
        <f>F71+J71-K71</f>
        <v>5322</v>
      </c>
      <c r="N71" s="57"/>
      <c r="O71" s="46">
        <f t="shared" si="16"/>
        <v>4.1509433962264152E-3</v>
      </c>
      <c r="P71" s="46">
        <f>((H71+G71)-E71)/E71</f>
        <v>4.2285714285714288E-2</v>
      </c>
      <c r="Q71" s="60">
        <v>7.8</v>
      </c>
      <c r="R71" s="67">
        <f t="shared" si="17"/>
        <v>41511.599999999999</v>
      </c>
      <c r="S71" s="67">
        <f t="shared" si="18"/>
        <v>29271</v>
      </c>
      <c r="T71" s="104">
        <f t="shared" si="19"/>
        <v>12240.599999999999</v>
      </c>
      <c r="U71" s="91">
        <f>H71*Q71</f>
        <v>23961.599999999999</v>
      </c>
      <c r="V71" s="31"/>
      <c r="W71" s="1" t="s">
        <v>138</v>
      </c>
      <c r="X71" s="1" t="s">
        <v>139</v>
      </c>
      <c r="Y71" s="1" t="s">
        <v>10</v>
      </c>
      <c r="Z71" s="24">
        <v>5.5</v>
      </c>
      <c r="AA71" s="22">
        <f>Q71-Z71</f>
        <v>2.2999999999999998</v>
      </c>
      <c r="AB71" s="9">
        <f>AA71/Q71</f>
        <v>0.29487179487179488</v>
      </c>
      <c r="AC71" s="95">
        <f t="shared" si="13"/>
        <v>7065.5999999999995</v>
      </c>
      <c r="AD71" s="8"/>
    </row>
    <row r="72" spans="1:30" s="122" customFormat="1" x14ac:dyDescent="0.2">
      <c r="A72" s="112"/>
      <c r="B72" s="112"/>
      <c r="C72" s="113"/>
      <c r="D72" s="114"/>
      <c r="E72" s="115"/>
      <c r="F72" s="114"/>
      <c r="G72" s="113"/>
      <c r="H72" s="116"/>
      <c r="I72" s="116"/>
      <c r="J72" s="146"/>
      <c r="K72" s="117"/>
      <c r="L72" s="147"/>
      <c r="M72" s="147"/>
      <c r="N72" s="118"/>
      <c r="O72" s="148"/>
      <c r="P72" s="148"/>
      <c r="Q72" s="119"/>
      <c r="R72" s="149"/>
      <c r="S72" s="149"/>
      <c r="T72" s="150"/>
      <c r="U72" s="149"/>
      <c r="V72" s="120"/>
      <c r="W72" s="112"/>
      <c r="X72" s="112"/>
      <c r="Y72" s="112"/>
      <c r="Z72" s="121"/>
      <c r="AA72" s="151"/>
      <c r="AB72" s="135"/>
      <c r="AC72" s="95">
        <f t="shared" si="13"/>
        <v>0</v>
      </c>
      <c r="AD72" s="136">
        <f>SUM(AC71)</f>
        <v>7065.5999999999995</v>
      </c>
    </row>
    <row r="73" spans="1:30" x14ac:dyDescent="0.2">
      <c r="A73" s="110" t="s">
        <v>179</v>
      </c>
      <c r="B73" s="66" t="s">
        <v>180</v>
      </c>
      <c r="C73" s="110" t="s">
        <v>181</v>
      </c>
      <c r="D73" s="137">
        <v>7420</v>
      </c>
      <c r="E73" s="138">
        <v>146260</v>
      </c>
      <c r="F73" s="137">
        <v>2240</v>
      </c>
      <c r="G73" s="110">
        <v>130810</v>
      </c>
      <c r="H73" s="10">
        <v>30204</v>
      </c>
      <c r="I73" s="10"/>
      <c r="J73" s="44">
        <f t="shared" si="15"/>
        <v>161014</v>
      </c>
      <c r="K73" s="140">
        <v>8000</v>
      </c>
      <c r="L73" s="57">
        <f>D73+E73-F73</f>
        <v>151440</v>
      </c>
      <c r="M73" s="57">
        <f>F73+J73-K73</f>
        <v>155254</v>
      </c>
      <c r="N73" s="140"/>
      <c r="O73" s="46">
        <f t="shared" si="16"/>
        <v>2.5184891706286319E-2</v>
      </c>
      <c r="P73" s="46">
        <f>((H73+G73)-E73)/E73</f>
        <v>0.10087515383563517</v>
      </c>
      <c r="Q73" s="123">
        <v>0.15</v>
      </c>
      <c r="R73" s="67">
        <f t="shared" si="17"/>
        <v>23288.1</v>
      </c>
      <c r="S73" s="67">
        <f t="shared" si="18"/>
        <v>17854.21</v>
      </c>
      <c r="T73" s="104">
        <f t="shared" si="19"/>
        <v>5433.8899999999994</v>
      </c>
      <c r="U73" s="91">
        <f>H73*Q73</f>
        <v>4530.5999999999995</v>
      </c>
      <c r="V73" s="36"/>
      <c r="W73" s="110" t="s">
        <v>179</v>
      </c>
      <c r="X73" s="132" t="s">
        <v>180</v>
      </c>
      <c r="Y73" s="58" t="s">
        <v>181</v>
      </c>
      <c r="Z73" s="125">
        <v>0.115</v>
      </c>
      <c r="AA73" s="22">
        <f t="shared" ref="AA73:AA97" si="20">Q73-Z73</f>
        <v>3.4999999999999989E-2</v>
      </c>
      <c r="AB73" s="9">
        <f>AA73/Q73</f>
        <v>0.23333333333333328</v>
      </c>
      <c r="AC73" s="95">
        <f t="shared" si="13"/>
        <v>1057.1399999999996</v>
      </c>
      <c r="AD73" s="4"/>
    </row>
    <row r="74" spans="1:30" x14ac:dyDescent="0.2">
      <c r="A74" s="58" t="s">
        <v>182</v>
      </c>
      <c r="B74" s="58" t="s">
        <v>183</v>
      </c>
      <c r="C74" s="58" t="s">
        <v>181</v>
      </c>
      <c r="D74" s="137">
        <v>525</v>
      </c>
      <c r="E74" s="138">
        <v>25512</v>
      </c>
      <c r="F74" s="137">
        <v>528</v>
      </c>
      <c r="G74" s="110">
        <v>26872</v>
      </c>
      <c r="H74" s="10">
        <v>4224</v>
      </c>
      <c r="I74" s="10"/>
      <c r="J74" s="44">
        <f t="shared" si="15"/>
        <v>31096</v>
      </c>
      <c r="K74" s="140">
        <v>3800</v>
      </c>
      <c r="L74" s="57">
        <f>D74+E74-F74</f>
        <v>25509</v>
      </c>
      <c r="M74" s="57">
        <f>F74+J74-K74</f>
        <v>27824</v>
      </c>
      <c r="N74" s="140"/>
      <c r="O74" s="46">
        <f t="shared" ref="O74:O97" si="21">(M74-L74)/L74</f>
        <v>9.075228350778157E-2</v>
      </c>
      <c r="P74" s="46">
        <f>((H74+G74)-E74)/E74</f>
        <v>0.21887739103167136</v>
      </c>
      <c r="Q74" s="123">
        <v>0.34</v>
      </c>
      <c r="R74" s="141"/>
      <c r="S74" s="141"/>
      <c r="T74" s="142"/>
      <c r="U74" s="141"/>
      <c r="V74" s="36"/>
      <c r="W74" s="58" t="s">
        <v>182</v>
      </c>
      <c r="X74" s="133" t="s">
        <v>183</v>
      </c>
      <c r="Y74" s="58" t="s">
        <v>181</v>
      </c>
      <c r="Z74" s="125">
        <v>0.32</v>
      </c>
      <c r="AA74" s="22">
        <f t="shared" si="20"/>
        <v>2.0000000000000018E-2</v>
      </c>
      <c r="AB74" s="9">
        <f t="shared" ref="AB74:AB97" si="22">AA74/Q74</f>
        <v>5.8823529411764754E-2</v>
      </c>
      <c r="AC74" s="95">
        <f t="shared" si="13"/>
        <v>84.480000000000075</v>
      </c>
      <c r="AD74" s="4"/>
    </row>
    <row r="75" spans="1:30" x14ac:dyDescent="0.2">
      <c r="A75" s="58" t="s">
        <v>184</v>
      </c>
      <c r="B75" s="58" t="s">
        <v>185</v>
      </c>
      <c r="C75" s="58" t="s">
        <v>181</v>
      </c>
      <c r="D75" s="137">
        <v>85</v>
      </c>
      <c r="E75" s="138">
        <v>2082</v>
      </c>
      <c r="F75" s="137">
        <v>104</v>
      </c>
      <c r="G75" s="110">
        <v>1350</v>
      </c>
      <c r="H75" s="10">
        <v>660</v>
      </c>
      <c r="I75" s="10"/>
      <c r="J75" s="44">
        <f t="shared" si="15"/>
        <v>2010</v>
      </c>
      <c r="K75" s="140">
        <v>220</v>
      </c>
      <c r="L75" s="57">
        <f>D75+E75-F75</f>
        <v>2063</v>
      </c>
      <c r="M75" s="57">
        <f>F75+J75-K75</f>
        <v>1894</v>
      </c>
      <c r="N75" s="140"/>
      <c r="O75" s="46">
        <f t="shared" si="21"/>
        <v>-8.1919534658264667E-2</v>
      </c>
      <c r="P75" s="46">
        <f>((H75+G75)-E75)/E75</f>
        <v>-3.4582132564841501E-2</v>
      </c>
      <c r="Q75" s="123">
        <v>2.25</v>
      </c>
      <c r="R75" s="141"/>
      <c r="S75" s="141"/>
      <c r="T75" s="142"/>
      <c r="U75" s="141"/>
      <c r="V75" s="36"/>
      <c r="W75" s="58" t="s">
        <v>184</v>
      </c>
      <c r="X75" s="133" t="s">
        <v>185</v>
      </c>
      <c r="Y75" s="58" t="s">
        <v>181</v>
      </c>
      <c r="Z75" s="125">
        <v>1.4</v>
      </c>
      <c r="AA75" s="22">
        <f t="shared" si="20"/>
        <v>0.85000000000000009</v>
      </c>
      <c r="AB75" s="9">
        <f t="shared" si="22"/>
        <v>0.37777777777777782</v>
      </c>
      <c r="AC75" s="95">
        <f t="shared" si="13"/>
        <v>561.00000000000011</v>
      </c>
      <c r="AD75" s="4"/>
    </row>
    <row r="76" spans="1:30" x14ac:dyDescent="0.2">
      <c r="A76" s="58" t="s">
        <v>186</v>
      </c>
      <c r="B76" s="58" t="s">
        <v>187</v>
      </c>
      <c r="C76" s="58" t="s">
        <v>181</v>
      </c>
      <c r="D76" s="137">
        <v>225</v>
      </c>
      <c r="E76" s="138">
        <v>5726</v>
      </c>
      <c r="F76" s="137">
        <v>193</v>
      </c>
      <c r="G76" s="110">
        <v>4350</v>
      </c>
      <c r="H76" s="10">
        <v>1350</v>
      </c>
      <c r="I76" s="10"/>
      <c r="J76" s="44">
        <f t="shared" si="15"/>
        <v>5700</v>
      </c>
      <c r="K76" s="140">
        <v>225</v>
      </c>
      <c r="L76" s="57">
        <f>D76+E76-F76</f>
        <v>5758</v>
      </c>
      <c r="M76" s="57">
        <f>F76+J76-K76</f>
        <v>5668</v>
      </c>
      <c r="N76" s="140"/>
      <c r="O76" s="46">
        <f t="shared" si="21"/>
        <v>-1.5630427231677665E-2</v>
      </c>
      <c r="P76" s="46">
        <f>((H76+G76)-E76)/E76</f>
        <v>-4.5406915822563745E-3</v>
      </c>
      <c r="Q76" s="123">
        <v>0.73</v>
      </c>
      <c r="R76" s="141"/>
      <c r="S76" s="141"/>
      <c r="T76" s="142"/>
      <c r="U76" s="141"/>
      <c r="V76" s="36"/>
      <c r="W76" s="58" t="s">
        <v>186</v>
      </c>
      <c r="X76" s="133" t="s">
        <v>187</v>
      </c>
      <c r="Y76" s="58" t="s">
        <v>181</v>
      </c>
      <c r="Z76" s="125">
        <v>0.63</v>
      </c>
      <c r="AA76" s="22">
        <f t="shared" si="20"/>
        <v>9.9999999999999978E-2</v>
      </c>
      <c r="AB76" s="9">
        <f t="shared" si="22"/>
        <v>0.13698630136986298</v>
      </c>
      <c r="AC76" s="95">
        <f t="shared" si="13"/>
        <v>134.99999999999997</v>
      </c>
      <c r="AD76" s="4"/>
    </row>
    <row r="77" spans="1:30" x14ac:dyDescent="0.2">
      <c r="A77" s="110"/>
      <c r="B77" s="110"/>
      <c r="C77" s="110"/>
      <c r="D77" s="137"/>
      <c r="E77" s="138"/>
      <c r="F77" s="137"/>
      <c r="G77" s="110"/>
      <c r="H77" s="10"/>
      <c r="I77" s="10"/>
      <c r="J77" s="44"/>
      <c r="K77" s="140"/>
      <c r="L77" s="57"/>
      <c r="M77" s="57"/>
      <c r="N77" s="140"/>
      <c r="O77" s="46"/>
      <c r="P77" s="46"/>
      <c r="Q77" s="123"/>
      <c r="R77" s="141"/>
      <c r="S77" s="141"/>
      <c r="T77" s="142"/>
      <c r="U77" s="141"/>
      <c r="V77" s="36"/>
      <c r="W77" s="110"/>
      <c r="X77" s="30"/>
      <c r="Y77" s="110"/>
      <c r="Z77" s="126"/>
      <c r="AA77" s="22"/>
      <c r="AB77" s="9"/>
      <c r="AC77" s="95"/>
      <c r="AD77" s="2"/>
    </row>
    <row r="78" spans="1:30" x14ac:dyDescent="0.2">
      <c r="A78" s="110" t="s">
        <v>188</v>
      </c>
      <c r="B78" s="110" t="s">
        <v>189</v>
      </c>
      <c r="C78" s="110" t="s">
        <v>181</v>
      </c>
      <c r="D78" s="137">
        <v>42900</v>
      </c>
      <c r="E78" s="138">
        <v>638000</v>
      </c>
      <c r="F78" s="137">
        <v>100600</v>
      </c>
      <c r="G78" s="110">
        <v>180000</v>
      </c>
      <c r="H78" s="10">
        <v>451000</v>
      </c>
      <c r="I78" s="10"/>
      <c r="J78" s="44">
        <f t="shared" si="15"/>
        <v>631000</v>
      </c>
      <c r="K78" s="140">
        <v>112000</v>
      </c>
      <c r="L78" s="57">
        <f>D78+E78-F78</f>
        <v>580300</v>
      </c>
      <c r="M78" s="57">
        <f>F78+J78-K78</f>
        <v>619600</v>
      </c>
      <c r="N78" s="140"/>
      <c r="O78" s="46">
        <f t="shared" si="21"/>
        <v>6.7723591245907294E-2</v>
      </c>
      <c r="P78" s="46">
        <f>((H78+G78)-E78)/E78</f>
        <v>-1.0971786833855799E-2</v>
      </c>
      <c r="Q78" s="123">
        <v>2.1999999999999999E-2</v>
      </c>
      <c r="R78" s="141"/>
      <c r="S78" s="141"/>
      <c r="T78" s="142"/>
      <c r="U78" s="141"/>
      <c r="V78" s="143"/>
      <c r="W78" s="110" t="s">
        <v>188</v>
      </c>
      <c r="X78" s="30" t="s">
        <v>189</v>
      </c>
      <c r="Y78" s="110" t="s">
        <v>181</v>
      </c>
      <c r="Z78" s="125">
        <v>2.1000000000000001E-2</v>
      </c>
      <c r="AA78" s="22">
        <f t="shared" si="20"/>
        <v>9.9999999999999742E-4</v>
      </c>
      <c r="AB78" s="9">
        <f t="shared" si="22"/>
        <v>4.5454545454545338E-2</v>
      </c>
      <c r="AC78" s="95">
        <f t="shared" si="13"/>
        <v>450.99999999999886</v>
      </c>
      <c r="AD78" s="17"/>
    </row>
    <row r="79" spans="1:30" x14ac:dyDescent="0.2">
      <c r="A79" s="110" t="s">
        <v>190</v>
      </c>
      <c r="B79" s="110" t="s">
        <v>191</v>
      </c>
      <c r="C79" s="110" t="s">
        <v>50</v>
      </c>
      <c r="D79" s="137">
        <v>16500</v>
      </c>
      <c r="E79" s="138">
        <v>264000</v>
      </c>
      <c r="F79" s="137">
        <v>32700</v>
      </c>
      <c r="G79" s="110">
        <v>120000</v>
      </c>
      <c r="H79" s="10">
        <v>221000</v>
      </c>
      <c r="I79" s="10"/>
      <c r="J79" s="44">
        <f t="shared" si="15"/>
        <v>341000</v>
      </c>
      <c r="K79" s="140">
        <v>79700</v>
      </c>
      <c r="L79" s="57">
        <f>D79+E79-F79</f>
        <v>247800</v>
      </c>
      <c r="M79" s="57">
        <f>F79+J79-K79</f>
        <v>294000</v>
      </c>
      <c r="N79" s="140"/>
      <c r="O79" s="46">
        <f t="shared" si="21"/>
        <v>0.1864406779661017</v>
      </c>
      <c r="P79" s="46">
        <f>((H79+G79)-E79)/E79</f>
        <v>0.29166666666666669</v>
      </c>
      <c r="Q79" s="123">
        <v>2.1999999999999999E-2</v>
      </c>
      <c r="R79" s="141"/>
      <c r="S79" s="141"/>
      <c r="T79" s="142"/>
      <c r="U79" s="141"/>
      <c r="V79" s="144"/>
      <c r="W79" s="110" t="s">
        <v>190</v>
      </c>
      <c r="X79" s="30" t="s">
        <v>191</v>
      </c>
      <c r="Y79" s="110" t="s">
        <v>181</v>
      </c>
      <c r="Z79" s="125">
        <v>2.1000000000000001E-2</v>
      </c>
      <c r="AA79" s="22">
        <f t="shared" si="20"/>
        <v>9.9999999999999742E-4</v>
      </c>
      <c r="AB79" s="9">
        <f t="shared" si="22"/>
        <v>4.5454545454545338E-2</v>
      </c>
      <c r="AC79" s="95">
        <f t="shared" si="13"/>
        <v>220.99999999999943</v>
      </c>
      <c r="AD79" s="17"/>
    </row>
    <row r="80" spans="1:30" x14ac:dyDescent="0.2">
      <c r="A80" s="110"/>
      <c r="B80" s="110"/>
      <c r="C80" s="110"/>
      <c r="D80" s="137"/>
      <c r="E80" s="138"/>
      <c r="F80" s="137"/>
      <c r="G80" s="110"/>
      <c r="H80" s="10"/>
      <c r="I80" s="10"/>
      <c r="J80" s="44"/>
      <c r="K80" s="140"/>
      <c r="L80" s="57"/>
      <c r="M80" s="57"/>
      <c r="N80" s="140"/>
      <c r="O80" s="46"/>
      <c r="P80" s="46"/>
      <c r="Q80" s="123"/>
      <c r="R80" s="141"/>
      <c r="S80" s="141"/>
      <c r="T80" s="142"/>
      <c r="U80" s="141"/>
      <c r="V80" s="144"/>
      <c r="W80" s="110"/>
      <c r="X80" s="30"/>
      <c r="Y80" s="110"/>
      <c r="Z80" s="126"/>
      <c r="AA80" s="22"/>
      <c r="AB80" s="9"/>
      <c r="AC80" s="95"/>
      <c r="AD80" s="17"/>
    </row>
    <row r="81" spans="1:30" ht="22.5" x14ac:dyDescent="0.2">
      <c r="A81" s="10" t="s">
        <v>192</v>
      </c>
      <c r="B81" s="153" t="s">
        <v>193</v>
      </c>
      <c r="C81" s="10" t="s">
        <v>194</v>
      </c>
      <c r="D81" s="140">
        <v>0</v>
      </c>
      <c r="E81" s="138"/>
      <c r="F81" s="140"/>
      <c r="G81" s="10">
        <v>800</v>
      </c>
      <c r="H81" s="10">
        <v>300</v>
      </c>
      <c r="I81" s="10"/>
      <c r="J81" s="44">
        <f t="shared" si="15"/>
        <v>1100</v>
      </c>
      <c r="K81" s="140"/>
      <c r="L81" s="57">
        <f t="shared" ref="L81:L97" si="23">D81+E81-F81</f>
        <v>0</v>
      </c>
      <c r="M81" s="57">
        <f t="shared" ref="M81:M97" si="24">F81+J81-K81</f>
        <v>1100</v>
      </c>
      <c r="N81" s="140"/>
      <c r="O81" s="46" t="e">
        <f t="shared" si="21"/>
        <v>#DIV/0!</v>
      </c>
      <c r="P81" s="46" t="e">
        <f t="shared" ref="P81:P97" si="25">((H81+G81)-E81)/E81</f>
        <v>#DIV/0!</v>
      </c>
      <c r="Q81" s="124">
        <v>3.5</v>
      </c>
      <c r="R81" s="141"/>
      <c r="S81" s="141"/>
      <c r="T81" s="142"/>
      <c r="U81" s="141"/>
      <c r="V81" s="144"/>
      <c r="W81" s="10" t="s">
        <v>232</v>
      </c>
      <c r="X81" s="1" t="s">
        <v>233</v>
      </c>
      <c r="Y81" s="10" t="s">
        <v>10</v>
      </c>
      <c r="Z81" s="154">
        <v>2.2999999999999998</v>
      </c>
      <c r="AA81" s="22">
        <f t="shared" si="20"/>
        <v>1.2000000000000002</v>
      </c>
      <c r="AB81" s="9">
        <f t="shared" si="22"/>
        <v>0.34285714285714292</v>
      </c>
      <c r="AC81" s="95">
        <f t="shared" si="13"/>
        <v>360.00000000000006</v>
      </c>
      <c r="AD81" s="17"/>
    </row>
    <row r="82" spans="1:30" x14ac:dyDescent="0.2">
      <c r="A82" s="10" t="s">
        <v>195</v>
      </c>
      <c r="B82" s="10" t="s">
        <v>196</v>
      </c>
      <c r="C82" s="10" t="s">
        <v>68</v>
      </c>
      <c r="D82" s="140">
        <v>0</v>
      </c>
      <c r="E82" s="138"/>
      <c r="F82" s="140"/>
      <c r="G82" s="10">
        <v>600</v>
      </c>
      <c r="H82" s="10">
        <v>50</v>
      </c>
      <c r="I82" s="10"/>
      <c r="J82" s="44">
        <f t="shared" si="15"/>
        <v>650</v>
      </c>
      <c r="K82" s="140"/>
      <c r="L82" s="57">
        <f t="shared" si="23"/>
        <v>0</v>
      </c>
      <c r="M82" s="57">
        <f t="shared" si="24"/>
        <v>650</v>
      </c>
      <c r="N82" s="140"/>
      <c r="O82" s="46" t="e">
        <f t="shared" si="21"/>
        <v>#DIV/0!</v>
      </c>
      <c r="P82" s="46" t="e">
        <f t="shared" si="25"/>
        <v>#DIV/0!</v>
      </c>
      <c r="Q82" s="124">
        <v>0.78</v>
      </c>
      <c r="R82" s="141"/>
      <c r="S82" s="141"/>
      <c r="T82" s="142"/>
      <c r="U82" s="141"/>
      <c r="V82" s="144"/>
      <c r="W82" s="157" t="s">
        <v>245</v>
      </c>
      <c r="X82" s="1" t="s">
        <v>234</v>
      </c>
      <c r="Y82" s="10" t="s">
        <v>10</v>
      </c>
      <c r="Z82" s="154">
        <v>0.75</v>
      </c>
      <c r="AA82" s="22">
        <f t="shared" si="20"/>
        <v>3.0000000000000027E-2</v>
      </c>
      <c r="AB82" s="9">
        <f t="shared" si="22"/>
        <v>3.8461538461538491E-2</v>
      </c>
      <c r="AC82" s="95">
        <f t="shared" si="13"/>
        <v>1.5000000000000013</v>
      </c>
      <c r="AD82" s="17"/>
    </row>
    <row r="83" spans="1:30" x14ac:dyDescent="0.2">
      <c r="A83" s="63" t="s">
        <v>197</v>
      </c>
      <c r="B83" s="63" t="s">
        <v>198</v>
      </c>
      <c r="C83" s="63" t="s">
        <v>50</v>
      </c>
      <c r="D83" s="140">
        <v>26800</v>
      </c>
      <c r="E83" s="138">
        <v>273300</v>
      </c>
      <c r="F83" s="140">
        <v>13850</v>
      </c>
      <c r="G83" s="57">
        <v>154800</v>
      </c>
      <c r="H83" s="10">
        <v>193500</v>
      </c>
      <c r="I83" s="10"/>
      <c r="J83" s="44">
        <f t="shared" si="15"/>
        <v>348300</v>
      </c>
      <c r="K83" s="140">
        <v>90100</v>
      </c>
      <c r="L83" s="57">
        <f t="shared" si="23"/>
        <v>286250</v>
      </c>
      <c r="M83" s="57">
        <f t="shared" si="24"/>
        <v>272050</v>
      </c>
      <c r="N83" s="140"/>
      <c r="O83" s="46">
        <f t="shared" si="21"/>
        <v>-4.9606986899563318E-2</v>
      </c>
      <c r="P83" s="46">
        <f t="shared" si="25"/>
        <v>0.27442371020856204</v>
      </c>
      <c r="Q83" s="155">
        <v>8.1000000000000003E-2</v>
      </c>
      <c r="R83" s="141"/>
      <c r="S83" s="141"/>
      <c r="T83" s="142"/>
      <c r="U83" s="141"/>
      <c r="V83" s="144"/>
      <c r="W83" s="63" t="s">
        <v>197</v>
      </c>
      <c r="X83" s="131" t="s">
        <v>198</v>
      </c>
      <c r="Y83" s="10" t="s">
        <v>133</v>
      </c>
      <c r="Z83" s="154">
        <v>3.7600000000000001E-2</v>
      </c>
      <c r="AA83" s="22">
        <f t="shared" si="20"/>
        <v>4.3400000000000001E-2</v>
      </c>
      <c r="AB83" s="9">
        <f t="shared" si="22"/>
        <v>0.53580246913580243</v>
      </c>
      <c r="AC83" s="95">
        <f t="shared" si="13"/>
        <v>8397.9</v>
      </c>
      <c r="AD83" s="17"/>
    </row>
    <row r="84" spans="1:30" ht="24" x14ac:dyDescent="0.2">
      <c r="A84" s="63" t="s">
        <v>199</v>
      </c>
      <c r="B84" s="152" t="s">
        <v>200</v>
      </c>
      <c r="C84" s="10" t="s">
        <v>201</v>
      </c>
      <c r="D84" s="140">
        <v>0</v>
      </c>
      <c r="E84" s="138">
        <v>67</v>
      </c>
      <c r="F84" s="140">
        <v>0</v>
      </c>
      <c r="G84" s="10">
        <v>255</v>
      </c>
      <c r="H84" s="10">
        <v>1100</v>
      </c>
      <c r="I84" s="10"/>
      <c r="J84" s="44">
        <f t="shared" si="15"/>
        <v>1355</v>
      </c>
      <c r="K84" s="140">
        <v>0</v>
      </c>
      <c r="L84" s="57">
        <f t="shared" si="23"/>
        <v>67</v>
      </c>
      <c r="M84" s="57">
        <f t="shared" si="24"/>
        <v>1355</v>
      </c>
      <c r="N84" s="140"/>
      <c r="O84" s="46">
        <f t="shared" si="21"/>
        <v>19.223880597014926</v>
      </c>
      <c r="P84" s="46">
        <f t="shared" si="25"/>
        <v>19.223880597014926</v>
      </c>
      <c r="Q84" s="124">
        <v>12.2</v>
      </c>
      <c r="R84" s="141"/>
      <c r="S84" s="141"/>
      <c r="T84" s="142"/>
      <c r="U84" s="141"/>
      <c r="V84" s="144"/>
      <c r="W84" s="63" t="s">
        <v>199</v>
      </c>
      <c r="X84" s="131" t="s">
        <v>200</v>
      </c>
      <c r="Y84" s="10" t="s">
        <v>235</v>
      </c>
      <c r="Z84" s="156">
        <v>7.9</v>
      </c>
      <c r="AA84" s="22">
        <f t="shared" si="20"/>
        <v>4.2999999999999989</v>
      </c>
      <c r="AB84" s="9">
        <f t="shared" si="22"/>
        <v>0.35245901639344257</v>
      </c>
      <c r="AC84" s="95">
        <f t="shared" si="13"/>
        <v>4729.9999999999991</v>
      </c>
      <c r="AD84" s="17"/>
    </row>
    <row r="85" spans="1:30" x14ac:dyDescent="0.2">
      <c r="A85" s="110" t="s">
        <v>202</v>
      </c>
      <c r="B85" s="110" t="s">
        <v>203</v>
      </c>
      <c r="C85" s="110" t="s">
        <v>204</v>
      </c>
      <c r="D85" s="137">
        <v>0</v>
      </c>
      <c r="E85" s="138"/>
      <c r="F85" s="137"/>
      <c r="G85" s="110">
        <v>0</v>
      </c>
      <c r="H85" s="10">
        <v>960</v>
      </c>
      <c r="I85" s="10"/>
      <c r="J85" s="44">
        <f t="shared" si="15"/>
        <v>960</v>
      </c>
      <c r="K85" s="139"/>
      <c r="L85" s="57">
        <f t="shared" si="23"/>
        <v>0</v>
      </c>
      <c r="M85" s="57">
        <f t="shared" si="24"/>
        <v>960</v>
      </c>
      <c r="N85" s="140"/>
      <c r="O85" s="46" t="e">
        <f t="shared" si="21"/>
        <v>#DIV/0!</v>
      </c>
      <c r="P85" s="46" t="e">
        <f t="shared" si="25"/>
        <v>#DIV/0!</v>
      </c>
      <c r="Q85" s="123">
        <v>2.2400000000000002</v>
      </c>
      <c r="R85" s="141"/>
      <c r="S85" s="141"/>
      <c r="T85" s="142"/>
      <c r="U85" s="141"/>
      <c r="V85" s="144"/>
      <c r="W85" s="110" t="s">
        <v>205</v>
      </c>
      <c r="X85" s="30" t="s">
        <v>206</v>
      </c>
      <c r="Y85" s="110" t="s">
        <v>10</v>
      </c>
      <c r="Z85" s="126">
        <v>1.8</v>
      </c>
      <c r="AA85" s="22">
        <f t="shared" si="20"/>
        <v>0.44000000000000017</v>
      </c>
      <c r="AB85" s="9">
        <f t="shared" si="22"/>
        <v>0.19642857142857148</v>
      </c>
      <c r="AC85" s="95">
        <f t="shared" si="13"/>
        <v>422.40000000000015</v>
      </c>
      <c r="AD85" s="17"/>
    </row>
    <row r="86" spans="1:30" x14ac:dyDescent="0.2">
      <c r="A86" s="110" t="s">
        <v>205</v>
      </c>
      <c r="B86" s="110" t="s">
        <v>206</v>
      </c>
      <c r="C86" s="110" t="s">
        <v>10</v>
      </c>
      <c r="D86" s="137">
        <v>0</v>
      </c>
      <c r="E86" s="138"/>
      <c r="F86" s="137"/>
      <c r="G86" s="110">
        <v>8328</v>
      </c>
      <c r="H86" s="10">
        <v>960</v>
      </c>
      <c r="I86" s="10"/>
      <c r="J86" s="44">
        <f t="shared" si="15"/>
        <v>9288</v>
      </c>
      <c r="K86" s="139"/>
      <c r="L86" s="57">
        <f t="shared" si="23"/>
        <v>0</v>
      </c>
      <c r="M86" s="57">
        <f t="shared" si="24"/>
        <v>9288</v>
      </c>
      <c r="N86" s="140"/>
      <c r="O86" s="46" t="e">
        <f t="shared" si="21"/>
        <v>#DIV/0!</v>
      </c>
      <c r="P86" s="46" t="e">
        <f t="shared" si="25"/>
        <v>#DIV/0!</v>
      </c>
      <c r="Q86" s="123">
        <v>2.11</v>
      </c>
      <c r="R86" s="141"/>
      <c r="S86" s="141"/>
      <c r="T86" s="142"/>
      <c r="U86" s="141"/>
      <c r="V86" s="144"/>
      <c r="W86" s="110" t="s">
        <v>205</v>
      </c>
      <c r="X86" s="30" t="s">
        <v>206</v>
      </c>
      <c r="Y86" s="110" t="s">
        <v>10</v>
      </c>
      <c r="Z86" s="126">
        <v>1.8</v>
      </c>
      <c r="AA86" s="22">
        <f t="shared" si="20"/>
        <v>0.30999999999999983</v>
      </c>
      <c r="AB86" s="9">
        <f t="shared" si="22"/>
        <v>0.14691943127962079</v>
      </c>
      <c r="AC86" s="95">
        <f t="shared" si="13"/>
        <v>297.59999999999985</v>
      </c>
      <c r="AD86" s="17"/>
    </row>
    <row r="87" spans="1:30" x14ac:dyDescent="0.2">
      <c r="A87" s="110" t="s">
        <v>207</v>
      </c>
      <c r="B87" s="110" t="s">
        <v>208</v>
      </c>
      <c r="C87" s="110" t="s">
        <v>209</v>
      </c>
      <c r="D87" s="137">
        <v>0</v>
      </c>
      <c r="E87" s="138"/>
      <c r="F87" s="137"/>
      <c r="G87" s="110">
        <v>138</v>
      </c>
      <c r="H87" s="10">
        <v>24</v>
      </c>
      <c r="I87" s="10"/>
      <c r="J87" s="44">
        <f t="shared" si="15"/>
        <v>162</v>
      </c>
      <c r="K87" s="139"/>
      <c r="L87" s="57">
        <f t="shared" si="23"/>
        <v>0</v>
      </c>
      <c r="M87" s="57">
        <f t="shared" si="24"/>
        <v>162</v>
      </c>
      <c r="N87" s="140"/>
      <c r="O87" s="46" t="e">
        <f t="shared" si="21"/>
        <v>#DIV/0!</v>
      </c>
      <c r="P87" s="46" t="e">
        <f t="shared" si="25"/>
        <v>#DIV/0!</v>
      </c>
      <c r="Q87" s="123">
        <v>9.8000000000000007</v>
      </c>
      <c r="R87" s="141"/>
      <c r="S87" s="141"/>
      <c r="T87" s="142"/>
      <c r="U87" s="141"/>
      <c r="V87" s="144"/>
      <c r="W87" s="110" t="s">
        <v>207</v>
      </c>
      <c r="X87" s="30" t="s">
        <v>208</v>
      </c>
      <c r="Y87" s="110" t="s">
        <v>209</v>
      </c>
      <c r="Z87" s="126">
        <v>9</v>
      </c>
      <c r="AA87" s="22">
        <f t="shared" si="20"/>
        <v>0.80000000000000071</v>
      </c>
      <c r="AB87" s="9">
        <f t="shared" si="22"/>
        <v>8.1632653061224553E-2</v>
      </c>
      <c r="AC87" s="95">
        <f t="shared" si="13"/>
        <v>19.200000000000017</v>
      </c>
      <c r="AD87" s="17"/>
    </row>
    <row r="88" spans="1:30" x14ac:dyDescent="0.2">
      <c r="A88" s="110" t="s">
        <v>210</v>
      </c>
      <c r="B88" s="110" t="s">
        <v>211</v>
      </c>
      <c r="C88" s="110" t="s">
        <v>212</v>
      </c>
      <c r="D88" s="137">
        <v>0</v>
      </c>
      <c r="E88" s="138"/>
      <c r="F88" s="137"/>
      <c r="G88" s="110">
        <v>130</v>
      </c>
      <c r="H88" s="10">
        <v>15</v>
      </c>
      <c r="I88" s="10"/>
      <c r="J88" s="44">
        <f t="shared" si="15"/>
        <v>145</v>
      </c>
      <c r="K88" s="139"/>
      <c r="L88" s="57">
        <f t="shared" si="23"/>
        <v>0</v>
      </c>
      <c r="M88" s="57">
        <f t="shared" si="24"/>
        <v>145</v>
      </c>
      <c r="N88" s="140"/>
      <c r="O88" s="46" t="e">
        <f t="shared" si="21"/>
        <v>#DIV/0!</v>
      </c>
      <c r="P88" s="46" t="e">
        <f t="shared" si="25"/>
        <v>#DIV/0!</v>
      </c>
      <c r="Q88" s="123">
        <v>22</v>
      </c>
      <c r="R88" s="141"/>
      <c r="S88" s="141"/>
      <c r="T88" s="142"/>
      <c r="U88" s="141"/>
      <c r="V88" s="144"/>
      <c r="W88" s="110" t="s">
        <v>236</v>
      </c>
      <c r="X88" s="30" t="s">
        <v>237</v>
      </c>
      <c r="Y88" s="110" t="s">
        <v>238</v>
      </c>
      <c r="Z88" s="126">
        <v>5.2</v>
      </c>
      <c r="AA88" s="22">
        <f t="shared" si="20"/>
        <v>16.8</v>
      </c>
      <c r="AB88" s="9">
        <f t="shared" si="22"/>
        <v>0.76363636363636367</v>
      </c>
      <c r="AC88" s="95">
        <f t="shared" si="13"/>
        <v>252</v>
      </c>
      <c r="AD88" s="17"/>
    </row>
    <row r="89" spans="1:30" x14ac:dyDescent="0.2">
      <c r="A89" s="110" t="s">
        <v>213</v>
      </c>
      <c r="B89" s="110" t="s">
        <v>214</v>
      </c>
      <c r="C89" s="177" t="s">
        <v>215</v>
      </c>
      <c r="D89" s="179">
        <v>0</v>
      </c>
      <c r="E89" s="138"/>
      <c r="F89" s="137"/>
      <c r="G89" s="177">
        <v>47</v>
      </c>
      <c r="H89" s="10"/>
      <c r="I89" s="10"/>
      <c r="J89" s="44">
        <f t="shared" si="15"/>
        <v>47</v>
      </c>
      <c r="K89" s="139"/>
      <c r="L89" s="57">
        <f t="shared" si="23"/>
        <v>0</v>
      </c>
      <c r="M89" s="57">
        <f t="shared" si="24"/>
        <v>47</v>
      </c>
      <c r="N89" s="140"/>
      <c r="O89" s="46" t="e">
        <f t="shared" si="21"/>
        <v>#DIV/0!</v>
      </c>
      <c r="P89" s="46" t="e">
        <f t="shared" si="25"/>
        <v>#DIV/0!</v>
      </c>
      <c r="Q89" s="178">
        <v>21.11</v>
      </c>
      <c r="R89" s="141"/>
      <c r="S89" s="141"/>
      <c r="T89" s="142"/>
      <c r="U89" s="141"/>
      <c r="V89" s="144"/>
      <c r="W89" s="110"/>
      <c r="X89" s="30"/>
      <c r="Y89" s="110"/>
      <c r="Z89" s="126"/>
      <c r="AA89" s="22"/>
      <c r="AB89" s="9"/>
      <c r="AC89" s="95">
        <f t="shared" si="13"/>
        <v>0</v>
      </c>
      <c r="AD89" s="17"/>
    </row>
    <row r="90" spans="1:30" x14ac:dyDescent="0.2">
      <c r="A90" s="110" t="s">
        <v>216</v>
      </c>
      <c r="B90" s="110" t="s">
        <v>217</v>
      </c>
      <c r="C90" s="177"/>
      <c r="D90" s="180"/>
      <c r="E90" s="138"/>
      <c r="F90" s="137"/>
      <c r="G90" s="177"/>
      <c r="H90" s="10">
        <v>25</v>
      </c>
      <c r="I90" s="10"/>
      <c r="J90" s="44">
        <f t="shared" si="15"/>
        <v>25</v>
      </c>
      <c r="K90" s="139"/>
      <c r="L90" s="57">
        <f t="shared" si="23"/>
        <v>0</v>
      </c>
      <c r="M90" s="57">
        <f t="shared" si="24"/>
        <v>25</v>
      </c>
      <c r="N90" s="140"/>
      <c r="O90" s="46" t="e">
        <f t="shared" si="21"/>
        <v>#DIV/0!</v>
      </c>
      <c r="P90" s="46" t="e">
        <f t="shared" si="25"/>
        <v>#DIV/0!</v>
      </c>
      <c r="Q90" s="178"/>
      <c r="R90" s="141"/>
      <c r="S90" s="141"/>
      <c r="T90" s="142"/>
      <c r="U90" s="141"/>
      <c r="V90" s="144"/>
      <c r="W90" s="110" t="s">
        <v>239</v>
      </c>
      <c r="X90" s="30" t="s">
        <v>240</v>
      </c>
      <c r="Y90" s="110" t="s">
        <v>238</v>
      </c>
      <c r="Z90" s="126">
        <v>15.2</v>
      </c>
      <c r="AA90" s="22">
        <f>Q89-Z90</f>
        <v>5.91</v>
      </c>
      <c r="AB90" s="128">
        <f>AA90/21.11</f>
        <v>0.27996210326859311</v>
      </c>
      <c r="AC90" s="95">
        <f t="shared" si="13"/>
        <v>147.75</v>
      </c>
      <c r="AD90" s="17"/>
    </row>
    <row r="91" spans="1:30" x14ac:dyDescent="0.2">
      <c r="A91" s="110" t="s">
        <v>218</v>
      </c>
      <c r="B91" s="110" t="s">
        <v>219</v>
      </c>
      <c r="C91" s="110" t="s">
        <v>220</v>
      </c>
      <c r="D91" s="181"/>
      <c r="E91" s="138"/>
      <c r="F91" s="137"/>
      <c r="G91" s="177"/>
      <c r="H91" s="10"/>
      <c r="I91" s="10"/>
      <c r="J91" s="44">
        <f t="shared" si="15"/>
        <v>0</v>
      </c>
      <c r="K91" s="139"/>
      <c r="L91" s="57">
        <f t="shared" si="23"/>
        <v>0</v>
      </c>
      <c r="M91" s="57">
        <f t="shared" si="24"/>
        <v>0</v>
      </c>
      <c r="N91" s="140"/>
      <c r="O91" s="46" t="e">
        <f t="shared" si="21"/>
        <v>#DIV/0!</v>
      </c>
      <c r="P91" s="46" t="e">
        <f t="shared" si="25"/>
        <v>#DIV/0!</v>
      </c>
      <c r="Q91" s="178"/>
      <c r="R91" s="141"/>
      <c r="S91" s="141"/>
      <c r="T91" s="142"/>
      <c r="U91" s="141"/>
      <c r="V91" s="144"/>
      <c r="W91" s="110"/>
      <c r="X91" s="30"/>
      <c r="Y91" s="110"/>
      <c r="Z91" s="126"/>
      <c r="AA91" s="22"/>
      <c r="AB91" s="9"/>
      <c r="AC91" s="95">
        <f t="shared" si="13"/>
        <v>0</v>
      </c>
      <c r="AD91" s="17"/>
    </row>
    <row r="92" spans="1:30" x14ac:dyDescent="0.2">
      <c r="A92" s="110" t="s">
        <v>221</v>
      </c>
      <c r="B92" s="110" t="s">
        <v>222</v>
      </c>
      <c r="C92" s="110" t="s">
        <v>223</v>
      </c>
      <c r="D92" s="137">
        <v>1650</v>
      </c>
      <c r="E92" s="138">
        <v>6000</v>
      </c>
      <c r="F92" s="137">
        <v>1000</v>
      </c>
      <c r="G92" s="110">
        <v>9000</v>
      </c>
      <c r="H92" s="10">
        <v>0</v>
      </c>
      <c r="I92" s="10"/>
      <c r="J92" s="44">
        <f t="shared" si="15"/>
        <v>9000</v>
      </c>
      <c r="K92" s="139">
        <v>2000</v>
      </c>
      <c r="L92" s="57">
        <f t="shared" si="23"/>
        <v>6650</v>
      </c>
      <c r="M92" s="57">
        <f t="shared" si="24"/>
        <v>8000</v>
      </c>
      <c r="N92" s="140"/>
      <c r="O92" s="46">
        <f t="shared" si="21"/>
        <v>0.20300751879699247</v>
      </c>
      <c r="P92" s="46">
        <f t="shared" si="25"/>
        <v>0.5</v>
      </c>
      <c r="Q92" s="123">
        <v>0.4</v>
      </c>
      <c r="R92" s="141"/>
      <c r="S92" s="141"/>
      <c r="T92" s="142"/>
      <c r="U92" s="141"/>
      <c r="V92" s="144"/>
      <c r="W92" s="110" t="s">
        <v>221</v>
      </c>
      <c r="X92" s="30" t="s">
        <v>222</v>
      </c>
      <c r="Y92" s="110" t="s">
        <v>223</v>
      </c>
      <c r="Z92" s="158">
        <v>0.36</v>
      </c>
      <c r="AA92" s="22">
        <f t="shared" si="20"/>
        <v>4.0000000000000036E-2</v>
      </c>
      <c r="AB92" s="9">
        <f t="shared" si="22"/>
        <v>0.10000000000000009</v>
      </c>
      <c r="AC92" s="95">
        <f t="shared" si="13"/>
        <v>0</v>
      </c>
      <c r="AD92" s="17"/>
    </row>
    <row r="93" spans="1:30" x14ac:dyDescent="0.2">
      <c r="A93" s="110">
        <v>160</v>
      </c>
      <c r="B93" s="110" t="s">
        <v>224</v>
      </c>
      <c r="C93" s="110" t="s">
        <v>223</v>
      </c>
      <c r="D93" s="137">
        <v>0</v>
      </c>
      <c r="E93" s="138"/>
      <c r="F93" s="137"/>
      <c r="G93" s="110"/>
      <c r="H93" s="10"/>
      <c r="I93" s="10"/>
      <c r="J93" s="44">
        <f t="shared" si="15"/>
        <v>0</v>
      </c>
      <c r="K93" s="139"/>
      <c r="L93" s="57">
        <f t="shared" si="23"/>
        <v>0</v>
      </c>
      <c r="M93" s="57">
        <f t="shared" si="24"/>
        <v>0</v>
      </c>
      <c r="N93" s="140"/>
      <c r="O93" s="46" t="e">
        <f t="shared" si="21"/>
        <v>#DIV/0!</v>
      </c>
      <c r="P93" s="46" t="e">
        <f t="shared" si="25"/>
        <v>#DIV/0!</v>
      </c>
      <c r="Q93" s="123">
        <v>4.7</v>
      </c>
      <c r="R93" s="141"/>
      <c r="S93" s="141"/>
      <c r="T93" s="142"/>
      <c r="U93" s="141"/>
      <c r="V93" s="144"/>
      <c r="W93" s="110">
        <v>160</v>
      </c>
      <c r="X93" s="30" t="s">
        <v>224</v>
      </c>
      <c r="Y93" s="110" t="s">
        <v>223</v>
      </c>
      <c r="Z93" s="158">
        <v>4.46</v>
      </c>
      <c r="AA93" s="22">
        <f t="shared" si="20"/>
        <v>0.24000000000000021</v>
      </c>
      <c r="AB93" s="9">
        <f t="shared" si="22"/>
        <v>5.1063829787234088E-2</v>
      </c>
      <c r="AC93" s="95">
        <f t="shared" si="13"/>
        <v>0</v>
      </c>
      <c r="AD93" s="17"/>
    </row>
    <row r="94" spans="1:30" x14ac:dyDescent="0.2">
      <c r="A94" s="110">
        <v>240</v>
      </c>
      <c r="B94" s="110" t="s">
        <v>225</v>
      </c>
      <c r="C94" s="110" t="s">
        <v>223</v>
      </c>
      <c r="D94" s="137">
        <v>0</v>
      </c>
      <c r="E94" s="138"/>
      <c r="F94" s="137"/>
      <c r="G94" s="110"/>
      <c r="H94" s="10"/>
      <c r="I94" s="10"/>
      <c r="J94" s="44">
        <f t="shared" si="15"/>
        <v>0</v>
      </c>
      <c r="K94" s="139"/>
      <c r="L94" s="57">
        <f t="shared" si="23"/>
        <v>0</v>
      </c>
      <c r="M94" s="57">
        <f t="shared" si="24"/>
        <v>0</v>
      </c>
      <c r="N94" s="140"/>
      <c r="O94" s="46" t="e">
        <f t="shared" si="21"/>
        <v>#DIV/0!</v>
      </c>
      <c r="P94" s="46" t="e">
        <f t="shared" si="25"/>
        <v>#DIV/0!</v>
      </c>
      <c r="Q94" s="123">
        <v>5.6</v>
      </c>
      <c r="R94" s="141"/>
      <c r="S94" s="141"/>
      <c r="T94" s="142"/>
      <c r="U94" s="141"/>
      <c r="V94" s="144"/>
      <c r="W94" s="110">
        <v>240</v>
      </c>
      <c r="X94" s="30" t="s">
        <v>225</v>
      </c>
      <c r="Y94" s="110" t="s">
        <v>223</v>
      </c>
      <c r="Z94" s="158">
        <v>5.45</v>
      </c>
      <c r="AA94" s="22">
        <f t="shared" si="20"/>
        <v>0.14999999999999947</v>
      </c>
      <c r="AB94" s="9">
        <f t="shared" si="22"/>
        <v>2.6785714285714191E-2</v>
      </c>
      <c r="AC94" s="95">
        <f t="shared" si="13"/>
        <v>0</v>
      </c>
      <c r="AD94" s="17"/>
    </row>
    <row r="95" spans="1:30" ht="36" x14ac:dyDescent="0.2">
      <c r="A95" s="110" t="s">
        <v>226</v>
      </c>
      <c r="B95" s="111" t="s">
        <v>227</v>
      </c>
      <c r="C95" s="110" t="s">
        <v>223</v>
      </c>
      <c r="D95" s="137">
        <v>0</v>
      </c>
      <c r="E95" s="138"/>
      <c r="F95" s="137"/>
      <c r="G95" s="110"/>
      <c r="H95" s="10"/>
      <c r="I95" s="10"/>
      <c r="J95" s="44">
        <f t="shared" si="15"/>
        <v>0</v>
      </c>
      <c r="K95" s="139"/>
      <c r="L95" s="57">
        <f t="shared" si="23"/>
        <v>0</v>
      </c>
      <c r="M95" s="57">
        <f t="shared" si="24"/>
        <v>0</v>
      </c>
      <c r="N95" s="140"/>
      <c r="O95" s="46" t="e">
        <f t="shared" si="21"/>
        <v>#DIV/0!</v>
      </c>
      <c r="P95" s="46" t="e">
        <f t="shared" si="25"/>
        <v>#DIV/0!</v>
      </c>
      <c r="Q95" s="123">
        <v>3.45</v>
      </c>
      <c r="R95" s="141"/>
      <c r="S95" s="141"/>
      <c r="T95" s="142"/>
      <c r="U95" s="141"/>
      <c r="V95" s="144"/>
      <c r="W95" s="110" t="s">
        <v>226</v>
      </c>
      <c r="X95" s="134" t="s">
        <v>227</v>
      </c>
      <c r="Y95" s="110" t="s">
        <v>223</v>
      </c>
      <c r="Z95" s="158">
        <v>3.27</v>
      </c>
      <c r="AA95" s="22">
        <f t="shared" si="20"/>
        <v>0.18000000000000016</v>
      </c>
      <c r="AB95" s="9">
        <f t="shared" si="22"/>
        <v>5.2173913043478307E-2</v>
      </c>
      <c r="AC95" s="95">
        <f t="shared" si="13"/>
        <v>0</v>
      </c>
      <c r="AD95" s="17"/>
    </row>
    <row r="96" spans="1:30" x14ac:dyDescent="0.2">
      <c r="A96" s="110" t="s">
        <v>228</v>
      </c>
      <c r="B96" s="110" t="s">
        <v>229</v>
      </c>
      <c r="C96" s="110" t="s">
        <v>223</v>
      </c>
      <c r="D96" s="137">
        <v>0</v>
      </c>
      <c r="E96" s="138"/>
      <c r="F96" s="137"/>
      <c r="G96" s="110"/>
      <c r="H96" s="10"/>
      <c r="I96" s="10"/>
      <c r="J96" s="44">
        <f t="shared" si="15"/>
        <v>0</v>
      </c>
      <c r="K96" s="139"/>
      <c r="L96" s="57">
        <f t="shared" si="23"/>
        <v>0</v>
      </c>
      <c r="M96" s="57">
        <f t="shared" si="24"/>
        <v>0</v>
      </c>
      <c r="N96" s="140"/>
      <c r="O96" s="46" t="e">
        <f t="shared" si="21"/>
        <v>#DIV/0!</v>
      </c>
      <c r="P96" s="46" t="e">
        <f t="shared" si="25"/>
        <v>#DIV/0!</v>
      </c>
      <c r="Q96" s="123">
        <v>1.5</v>
      </c>
      <c r="R96" s="141"/>
      <c r="S96" s="141"/>
      <c r="T96" s="142"/>
      <c r="U96" s="141"/>
      <c r="V96" s="144"/>
      <c r="W96" s="110" t="s">
        <v>228</v>
      </c>
      <c r="X96" s="30" t="s">
        <v>229</v>
      </c>
      <c r="Y96" s="110" t="s">
        <v>223</v>
      </c>
      <c r="Z96" s="158">
        <v>1.35</v>
      </c>
      <c r="AA96" s="22">
        <f t="shared" si="20"/>
        <v>0.14999999999999991</v>
      </c>
      <c r="AB96" s="9">
        <f t="shared" si="22"/>
        <v>9.9999999999999936E-2</v>
      </c>
      <c r="AC96" s="95">
        <f t="shared" si="13"/>
        <v>0</v>
      </c>
      <c r="AD96" s="17"/>
    </row>
    <row r="97" spans="1:30" x14ac:dyDescent="0.2">
      <c r="A97" s="10">
        <v>12100095</v>
      </c>
      <c r="B97" s="10" t="s">
        <v>230</v>
      </c>
      <c r="C97" s="110" t="s">
        <v>231</v>
      </c>
      <c r="D97" s="137">
        <v>30</v>
      </c>
      <c r="E97" s="138">
        <v>550</v>
      </c>
      <c r="F97" s="137">
        <v>50</v>
      </c>
      <c r="G97" s="10">
        <v>850</v>
      </c>
      <c r="H97" s="10"/>
      <c r="I97" s="10"/>
      <c r="J97" s="44">
        <f t="shared" si="15"/>
        <v>850</v>
      </c>
      <c r="K97" s="139">
        <v>50</v>
      </c>
      <c r="L97" s="57">
        <f t="shared" si="23"/>
        <v>530</v>
      </c>
      <c r="M97" s="57">
        <f t="shared" si="24"/>
        <v>850</v>
      </c>
      <c r="N97" s="140"/>
      <c r="O97" s="46">
        <f t="shared" si="21"/>
        <v>0.60377358490566035</v>
      </c>
      <c r="P97" s="46">
        <f t="shared" si="25"/>
        <v>0.54545454545454541</v>
      </c>
      <c r="Q97" s="124">
        <v>3.85</v>
      </c>
      <c r="R97" s="141"/>
      <c r="S97" s="141"/>
      <c r="T97" s="142"/>
      <c r="U97" s="141"/>
      <c r="V97" s="144"/>
      <c r="W97" s="10" t="s">
        <v>241</v>
      </c>
      <c r="X97" s="1" t="s">
        <v>242</v>
      </c>
      <c r="Y97" s="110" t="s">
        <v>231</v>
      </c>
      <c r="Z97" s="127">
        <v>2.5</v>
      </c>
      <c r="AA97" s="22">
        <f t="shared" si="20"/>
        <v>1.35</v>
      </c>
      <c r="AB97" s="9">
        <f t="shared" si="22"/>
        <v>0.35064935064935066</v>
      </c>
      <c r="AC97" s="95">
        <f t="shared" si="13"/>
        <v>0</v>
      </c>
      <c r="AD97" s="17"/>
    </row>
  </sheetData>
  <mergeCells count="11">
    <mergeCell ref="AC19:AC20"/>
    <mergeCell ref="AC38:AC40"/>
    <mergeCell ref="AD38:AD40"/>
    <mergeCell ref="C89:C90"/>
    <mergeCell ref="G89:G91"/>
    <mergeCell ref="Q89:Q91"/>
    <mergeCell ref="D89:D91"/>
    <mergeCell ref="X38:X40"/>
    <mergeCell ref="C38:C40"/>
    <mergeCell ref="H19:H20"/>
    <mergeCell ref="U19:U20"/>
  </mergeCells>
  <phoneticPr fontId="9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Γιώργος Δαναλάτος</dc:creator>
  <cp:lastModifiedBy>Γιώργος Δαναλάτος</cp:lastModifiedBy>
  <dcterms:created xsi:type="dcterms:W3CDTF">2025-06-30T06:12:25Z</dcterms:created>
  <dcterms:modified xsi:type="dcterms:W3CDTF">2026-05-29T11:58:33Z</dcterms:modified>
</cp:coreProperties>
</file>